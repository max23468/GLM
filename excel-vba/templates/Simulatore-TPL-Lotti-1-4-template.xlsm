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0" yWindow="600" windowWidth="28800" windowHeight="16120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Istruzioni" sheetId="2" state="visible" r:id="rId2"/>
    <sheet xmlns:r="http://schemas.openxmlformats.org/officeDocument/2006/relationships" name="Parametri" sheetId="3" state="visible" r:id="rId3"/>
    <sheet xmlns:r="http://schemas.openxmlformats.org/officeDocument/2006/relationships" name="Ottimizzazione" sheetId="4" state="visible" r:id="rId4"/>
    <sheet xmlns:r="http://schemas.openxmlformats.org/officeDocument/2006/relationships" name="Offerte" sheetId="5" state="visible" r:id="rId5"/>
    <sheet xmlns:r="http://schemas.openxmlformats.org/officeDocument/2006/relationships" name="Risultati" sheetId="6" state="visible" r:id="rId6"/>
    <sheet xmlns:r="http://schemas.openxmlformats.org/officeDocument/2006/relationships" name="ConfrontoWeb" sheetId="7" state="visible" r:id="rId7"/>
    <sheet xmlns:r="http://schemas.openxmlformats.org/officeDocument/2006/relationships" name="LogOttimizzazione" sheetId="8" state="visible" r:id="rId8"/>
    <sheet xmlns:r="http://schemas.openxmlformats.org/officeDocument/2006/relationships" name="Guida" sheetId="9" state="visible" r:id="rId9"/>
    <sheet xmlns:r="http://schemas.openxmlformats.org/officeDocument/2006/relationships" name="Glossario" sheetId="10" state="visible" r:id="rId10"/>
  </sheets>
  <definedNames/>
  <calcPr calcId="0" fullCalcOnLoad="1"/>
</workbook>
</file>

<file path=xl/styles.xml><?xml version="1.0" encoding="utf-8"?>
<styleSheet xmlns="http://schemas.openxmlformats.org/spreadsheetml/2006/main">
  <numFmts count="0"/>
  <fonts count="18">
    <font>
      <name val="Calibri"/>
      <family val="2"/>
      <color theme="1"/>
      <sz val="11"/>
      <scheme val="minor"/>
    </font>
    <font>
      <name val="Calibri"/>
      <family val="2"/>
      <b val="1"/>
      <sz val="14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b val="1"/>
      <color rgb="00FFFFFF"/>
      <sz val="18"/>
    </font>
    <font>
      <color rgb="006B7280"/>
      <sz val="11"/>
    </font>
    <font>
      <b val="1"/>
      <color rgb="00FFFFFF"/>
      <sz val="12"/>
    </font>
    <font>
      <b val="1"/>
      <color rgb="001F2937"/>
    </font>
    <font>
      <color rgb="001F2937"/>
    </font>
    <font>
      <b val="1"/>
      <color rgb="00FFFFFF"/>
    </font>
    <font>
      <name val="Calibri"/>
      <family val="2"/>
      <color theme="10"/>
      <sz val="12"/>
      <scheme val="minor"/>
    </font>
    <font>
      <b val="1"/>
      <color rgb="002563EB"/>
      <u val="single"/>
    </font>
    <font>
      <b val="1"/>
      <color rgb="001F4E78"/>
      <sz val="12"/>
    </font>
    <font>
      <color rgb="001F2937"/>
      <sz val="10"/>
    </font>
    <font>
      <b val="1"/>
    </font>
    <font>
      <b val="1"/>
      <color rgb="001F2937"/>
      <sz val="10"/>
    </font>
    <font>
      <b val="1"/>
      <color rgb="001F4E78"/>
      <sz val="16"/>
    </font>
    <font>
      <color rgb="006B7280"/>
      <sz val="9"/>
    </font>
  </fonts>
  <fills count="12">
    <fill>
      <patternFill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001F4E78"/>
        <bgColor rgb="001F4E78"/>
      </patternFill>
    </fill>
    <fill>
      <patternFill patternType="solid">
        <fgColor rgb="002563EB"/>
        <bgColor rgb="002563EB"/>
      </patternFill>
    </fill>
    <fill>
      <patternFill patternType="solid">
        <fgColor rgb="00DCEBFF"/>
        <bgColor rgb="00DCEBFF"/>
      </patternFill>
    </fill>
    <fill>
      <patternFill patternType="solid">
        <fgColor rgb="00FFFFFF"/>
        <bgColor rgb="00FFFFFF"/>
      </patternFill>
    </fill>
    <fill>
      <patternFill patternType="solid">
        <fgColor rgb="00E8EEF8"/>
        <bgColor rgb="00E8EEF8"/>
      </patternFill>
    </fill>
    <fill>
      <patternFill patternType="solid">
        <fgColor rgb="00D9EAD3"/>
        <bgColor rgb="00D9EAD3"/>
      </patternFill>
    </fill>
    <fill>
      <patternFill patternType="solid">
        <fgColor rgb="00FFF2CC"/>
        <bgColor rgb="00FFF2CC"/>
      </patternFill>
    </fill>
    <fill>
      <patternFill patternType="solid">
        <fgColor rgb="00FFF8CC"/>
        <bgColor rgb="00FFF8CC"/>
      </patternFill>
    </fill>
    <fill>
      <patternFill patternType="solid">
        <fgColor rgb="00EAF7EA"/>
        <bgColor rgb="00EAF7EA"/>
      </patternFill>
    </fill>
  </fills>
  <borders count="11">
    <border>
      <left/>
      <right/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  <border>
      <left/>
      <right/>
      <top style="thin">
        <color rgb="00D9E2F3"/>
      </top>
      <bottom/>
      <diagonal/>
    </border>
    <border>
      <left/>
      <right style="thin">
        <color rgb="00D9E2F3"/>
      </right>
      <top style="thin">
        <color rgb="00D9E2F3"/>
      </top>
      <bottom/>
      <diagonal/>
    </border>
    <border>
      <left/>
      <right/>
      <top style="thin">
        <color rgb="00D9E2F3"/>
      </top>
      <bottom style="thin">
        <color rgb="00D9E2F3"/>
      </bottom>
      <diagonal/>
    </border>
    <border>
      <left/>
      <right style="thin">
        <color rgb="00D9E2F3"/>
      </right>
      <top style="thin">
        <color rgb="00D9E2F3"/>
      </top>
      <bottom style="thin">
        <color rgb="00D9E2F3"/>
      </bottom>
      <diagonal/>
    </border>
    <border>
      <left style="thin">
        <color rgb="00D9E2F3"/>
      </left>
      <right/>
      <top/>
      <bottom/>
      <diagonal/>
    </border>
    <border>
      <left/>
      <right style="thin">
        <color rgb="00D9E2F3"/>
      </right>
      <top/>
      <bottom/>
      <diagonal/>
    </border>
    <border>
      <left style="thin">
        <color rgb="00D9E2F3"/>
      </left>
      <right/>
      <top/>
      <bottom style="thin">
        <color rgb="00D9E2F3"/>
      </bottom>
      <diagonal/>
    </border>
    <border>
      <left/>
      <right style="thin">
        <color rgb="00D9E2F3"/>
      </right>
      <top/>
      <bottom style="thin">
        <color rgb="00D9E2F3"/>
      </bottom>
      <diagonal/>
    </border>
    <border>
      <left/>
      <right/>
      <top/>
      <bottom style="thin">
        <color rgb="00D9E2F3"/>
      </bottom>
      <diagonal/>
    </border>
  </borders>
  <cellStyleXfs count="2">
    <xf numFmtId="0" fontId="0" fillId="0" borderId="0"/>
    <xf numFmtId="0" fontId="10" fillId="0" borderId="0"/>
  </cellStyleXfs>
  <cellXfs count="28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/>
    </xf>
    <xf numFmtId="0" fontId="4" fillId="3" borderId="0" applyAlignment="1" pivotButton="0" quotePrefix="0" xfId="0">
      <alignment vertical="center"/>
    </xf>
    <xf numFmtId="0" fontId="5" fillId="0" borderId="0" applyAlignment="1" pivotButton="0" quotePrefix="0" xfId="0">
      <alignment wrapText="1"/>
    </xf>
    <xf numFmtId="0" fontId="6" fillId="4" borderId="0" applyAlignment="1" pivotButton="0" quotePrefix="0" xfId="0">
      <alignment vertical="center"/>
    </xf>
    <xf numFmtId="0" fontId="7" fillId="5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/>
    </xf>
    <xf numFmtId="0" fontId="7" fillId="7" borderId="1" applyAlignment="1" pivotButton="0" quotePrefix="0" xfId="0">
      <alignment vertical="top" wrapText="1"/>
    </xf>
    <xf numFmtId="0" fontId="8" fillId="6" borderId="1" applyAlignment="1" pivotButton="0" quotePrefix="0" xfId="0">
      <alignment vertical="top" wrapText="1"/>
    </xf>
    <xf numFmtId="0" fontId="11" fillId="0" borderId="0" pivotButton="0" quotePrefix="0" xfId="1"/>
    <xf numFmtId="0" fontId="7" fillId="8" borderId="1" applyAlignment="1" pivotButton="0" quotePrefix="0" xfId="0">
      <alignment vertical="top" wrapText="1"/>
    </xf>
    <xf numFmtId="0" fontId="0" fillId="9" borderId="1" applyAlignment="1" pivotButton="0" quotePrefix="0" xfId="0">
      <alignment wrapText="1"/>
    </xf>
    <xf numFmtId="0" fontId="0" fillId="6" borderId="1" applyAlignment="1" pivotButton="0" quotePrefix="0" xfId="0">
      <alignment wrapText="1"/>
    </xf>
    <xf numFmtId="0" fontId="9" fillId="3" borderId="1" applyAlignment="1" pivotButton="0" quotePrefix="0" xfId="0">
      <alignment vertical="top" wrapText="1"/>
    </xf>
    <xf numFmtId="0" fontId="14" fillId="7" borderId="1" applyAlignment="1" pivotButton="0" quotePrefix="0" xfId="0">
      <alignment vertical="top" wrapText="1"/>
    </xf>
    <xf numFmtId="0" fontId="0" fillId="9" borderId="1" applyAlignment="1" pivotButton="0" quotePrefix="0" xfId="0">
      <alignment vertical="top" wrapText="1"/>
    </xf>
    <xf numFmtId="0" fontId="9" fillId="3" borderId="1" applyAlignment="1" pivotButton="0" quotePrefix="0" xfId="0">
      <alignment horizontal="center" vertical="center" wrapText="1"/>
    </xf>
    <xf numFmtId="0" fontId="7" fillId="10" borderId="1" applyAlignment="1" pivotButton="0" quotePrefix="0" xfId="0">
      <alignment vertical="top" wrapText="1"/>
    </xf>
    <xf numFmtId="0" fontId="8" fillId="10" borderId="1" applyAlignment="1" pivotButton="0" quotePrefix="0" xfId="0">
      <alignment vertical="top" wrapText="1"/>
    </xf>
    <xf numFmtId="0" fontId="8" fillId="11" borderId="1" applyAlignment="1" pivotButton="0" quotePrefix="0" xfId="0">
      <alignment vertical="top" wrapText="1"/>
    </xf>
    <xf numFmtId="0" fontId="0" fillId="0" borderId="1" applyAlignment="1" pivotButton="0" quotePrefix="0" xfId="0">
      <alignment vertical="top" wrapText="1"/>
    </xf>
    <xf numFmtId="0" fontId="12" fillId="7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5" fillId="5" borderId="1" applyAlignment="1" pivotButton="0" quotePrefix="0" xfId="0">
      <alignment horizontal="center" vertical="center" wrapText="1"/>
    </xf>
    <xf numFmtId="0" fontId="16" fillId="5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</cellXfs>
  <cellStyles count="2">
    <cellStyle name="Normale" xfId="0" builtinId="0"/>
    <cellStyle name="Hyperlink" xfId="1" builtinId="8" hidden="0"/>
  </cellStyles>
  <dxfs count="3"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2CC"/>
          <bgColor rgb="00FFF2CC"/>
        </patternFill>
      </fill>
    </dxf>
    <dxf>
      <fill>
        <patternFill patternType="solid">
          <fgColor rgb="00D9EAD3"/>
          <bgColor rgb="00D9EAD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Codex</author>
  </authors>
  <commentList>
    <comment ref="B2" authorId="0" shapeId="0">
      <text>
        <t>Valore fra 0 e 70. Usato da tutte le macro di ammissibilità.</t>
      </text>
    </comment>
    <comment ref="B3" authorId="0" shapeId="0">
      <text>
        <t>Lotto attivo per OttimizzaLottoAttivo.</t>
      </text>
    </comment>
  </commentList>
</comments>
</file>

<file path=xl/tables/table1.xml><?xml version="1.0" encoding="utf-8"?>
<table xmlns="http://schemas.openxmlformats.org/spreadsheetml/2006/main" id="1" name="tblParametri" displayName="tblParametri" ref="A1:C5" headerRowCount="1">
  <autoFilter ref="A1:C5"/>
  <tableColumns count="3">
    <tableColumn id="1" name="Parametro"/>
    <tableColumn id="2" name="Valore"/>
    <tableColumn id="3" name="No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Ottimizzazione" displayName="tblOttimizzazione" ref="A1:C9" headerRowCount="1">
  <autoFilter ref="A1:C9"/>
  <tableColumns count="3">
    <tableColumn id="1" name="Parametro"/>
    <tableColumn id="2" name="Valore"/>
    <tableColumn id="3" name="Descrizi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Offerte" displayName="tblOfferte" ref="A1:F200" headerRowCount="1">
  <autoFilter ref="A1:F200"/>
  <tableColumns count="6">
    <tableColumn id="1" name="BidderId"/>
    <tableColumn id="2" name="BidderNome"/>
    <tableColumn id="3" name="Lotto"/>
    <tableColumn id="4" name="Attivo"/>
    <tableColumn id="5" name="PunteggioTecnicoRaw"/>
    <tableColumn id="6" name="RibassoMedioPercen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ConfrontoWeb" displayName="tblConfrontoWeb" ref="A1:J8" headerRowCount="1">
  <autoFilter ref="A1:J8"/>
  <tableColumns count="10">
    <tableColumn id="1" name="Caso"/>
    <tableColumn id="2" name="Scenario"/>
    <tableColumn id="3" name="LotId"/>
    <tableColumn id="4" name="ExpectedTotal"/>
    <tableColumn id="5" name="Tolerance"/>
    <tableColumn id="6" name="WebSource"/>
    <tableColumn id="7" name="VerifiedAt"/>
    <tableColumn id="8" name="Note"/>
    <tableColumn id="9" name="Input expected"/>
    <tableColumn id="10" name="Valo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Parametri'!A1" TargetMode="External" Id="rId1"/><Relationship Type="http://schemas.openxmlformats.org/officeDocument/2006/relationships/hyperlink" Target="#'Offerte'!A1" TargetMode="External" Id="rId2"/><Relationship Type="http://schemas.openxmlformats.org/officeDocument/2006/relationships/hyperlink" Target="#'Risultati'!A1" TargetMode="External" Id="rId3"/><Relationship Type="http://schemas.openxmlformats.org/officeDocument/2006/relationships/hyperlink" Target="#'ConfrontoWeb'!A1" TargetMode="External" Id="rId4"/><Relationship Type="http://schemas.openxmlformats.org/officeDocument/2006/relationships/hyperlink" Target="#'Guida'!A1" TargetMode="External" Id="rId5"/><Relationship Type="http://schemas.openxmlformats.org/officeDocument/2006/relationships/hyperlink" Target="#'Glossario'!A1" TargetMode="External" Id="rId6"/><Relationship Type="http://schemas.openxmlformats.org/officeDocument/2006/relationships/hyperlink" Target="#'LogOttimizzazione'!A1" TargetMode="External" Id="rId7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sheet1.xml><?xml version="1.0" encoding="utf-8"?>
<worksheet xmlns="http://schemas.openxmlformats.org/spreadsheetml/2006/main">
  <sheetPr>
    <tabColor rgb="001F4E78"/>
    <outlinePr summaryBelow="1" summaryRight="1"/>
    <pageSetUpPr fitToPage="1"/>
  </sheetPr>
  <dimension ref="A1:H32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4" customWidth="1" min="1" max="1"/>
    <col width="22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28" customHeight="1">
      <c r="A1" s="4" t="inlineStr">
        <is>
          <t>Simulatore gara TPL lotti 1-4</t>
        </is>
      </c>
    </row>
    <row r="2">
      <c r="A2" s="5" t="inlineStr">
        <is>
          <t>Console Excel in modalità light: compila le offerte, esegui le macro e usa il web per i controlli avanzati.</t>
        </is>
      </c>
    </row>
    <row r="4" ht="22" customHeight="1">
      <c r="A4" s="6" t="inlineStr">
        <is>
          <t>Stato rapido</t>
        </is>
      </c>
    </row>
    <row r="5" ht="24" customHeight="1">
      <c r="A5" s="25" t="inlineStr">
        <is>
          <t>Righe offerte</t>
        </is>
      </c>
      <c r="C5" s="25" t="inlineStr">
        <is>
          <t>Offerte attive</t>
        </is>
      </c>
      <c r="E5" s="25" t="inlineStr">
        <is>
          <t>Lotto attivo</t>
        </is>
      </c>
      <c r="G5" s="25" t="inlineStr">
        <is>
          <t>Soglia tecnica</t>
        </is>
      </c>
    </row>
    <row r="6" ht="24" customHeight="1">
      <c r="A6" s="26">
        <f>COUNTA(Offerte!A2:A200)</f>
        <v/>
      </c>
      <c r="C6" s="26">
        <f>COUNTIF(Offerte!D2:D200,"1")+COUNTIF(Offerte!D2:D200,1)</f>
        <v/>
      </c>
      <c r="E6" s="26">
        <f>Parametri!B3</f>
        <v/>
      </c>
      <c r="G6" s="26">
        <f>Parametri!B2</f>
        <v/>
      </c>
    </row>
    <row r="7" ht="24" customHeight="1">
      <c r="A7" s="27" t="inlineStr">
        <is>
          <t>Righe compilate in Offerte</t>
        </is>
      </c>
      <c r="C7" s="27" t="inlineStr">
        <is>
          <t>Righe abilitate</t>
        </is>
      </c>
      <c r="E7" s="27" t="inlineStr">
        <is>
          <t>Usato da ottimizzazione</t>
        </is>
      </c>
      <c r="G7" s="27" t="inlineStr">
        <is>
          <t>Minimo ammissibilità</t>
        </is>
      </c>
    </row>
    <row r="10" ht="22" customHeight="1">
      <c r="A10" s="6" t="inlineStr">
        <is>
          <t>Flusso operativo</t>
        </is>
      </c>
    </row>
    <row r="11">
      <c r="A11" s="8" t="inlineStr">
        <is>
          <t>1</t>
        </is>
      </c>
      <c r="B11" s="9" t="inlineStr">
        <is>
          <t>Controlla Parametri</t>
        </is>
      </c>
      <c r="C11" s="10" t="inlineStr">
        <is>
          <t>Soglia tecnica e lotto attivo.</t>
        </is>
      </c>
      <c r="D11" s="10" t="n"/>
      <c r="E11" s="10" t="n"/>
      <c r="F11" s="10" t="n"/>
      <c r="G11" s="10" t="n"/>
      <c r="H11" s="10" t="n"/>
    </row>
    <row r="12">
      <c r="A12" s="8" t="inlineStr">
        <is>
          <t>2</t>
        </is>
      </c>
      <c r="B12" s="9" t="inlineStr">
        <is>
          <t>Compila Offerte</t>
        </is>
      </c>
      <c r="C12" s="10" t="inlineStr">
        <is>
          <t>Una riga per concorrente e lotto.</t>
        </is>
      </c>
      <c r="D12" s="10" t="n"/>
      <c r="E12" s="10" t="n"/>
      <c r="F12" s="10" t="n"/>
      <c r="G12" s="10" t="n"/>
      <c r="H12" s="10" t="n"/>
    </row>
    <row r="13">
      <c r="A13" s="8" t="inlineStr">
        <is>
          <t>3</t>
        </is>
      </c>
      <c r="B13" s="9" t="inlineStr">
        <is>
          <t>Esegui SimulaScenario</t>
        </is>
      </c>
      <c r="C13" s="10" t="inlineStr">
        <is>
          <t>Popola risultati, combinatorie e vincitori.</t>
        </is>
      </c>
      <c r="D13" s="10" t="n"/>
      <c r="E13" s="10" t="n"/>
      <c r="F13" s="10" t="n"/>
      <c r="G13" s="10" t="n"/>
      <c r="H13" s="10" t="n"/>
    </row>
    <row r="14">
      <c r="A14" s="8" t="inlineStr">
        <is>
          <t>4</t>
        </is>
      </c>
      <c r="B14" s="9" t="inlineStr">
        <is>
          <t>Rifinisci con OttimizzaLottoAttivo</t>
        </is>
      </c>
      <c r="C14" s="10" t="inlineStr">
        <is>
          <t>Usa leve Q/T sul concorrente selezionato.</t>
        </is>
      </c>
      <c r="D14" s="10" t="n"/>
      <c r="E14" s="10" t="n"/>
      <c r="F14" s="10" t="n"/>
      <c r="G14" s="10" t="n"/>
      <c r="H14" s="10" t="n"/>
    </row>
    <row r="15">
      <c r="A15" s="8" t="inlineStr">
        <is>
          <t>5</t>
        </is>
      </c>
      <c r="B15" s="9" t="inlineStr">
        <is>
          <t>Confronta con web</t>
        </is>
      </c>
      <c r="C15" s="10" t="inlineStr">
        <is>
          <t>Incolla expected in ConfrontoWeb!J2:J5.</t>
        </is>
      </c>
      <c r="D15" s="10" t="n"/>
      <c r="E15" s="10" t="n"/>
      <c r="F15" s="10" t="n"/>
      <c r="G15" s="10" t="n"/>
      <c r="H15" s="10" t="n"/>
    </row>
    <row r="18" ht="22" customHeight="1">
      <c r="A18" s="6" t="inlineStr">
        <is>
          <t>Navigazione e macro</t>
        </is>
      </c>
    </row>
    <row r="19">
      <c r="A19" s="11" t="inlineStr">
        <is>
          <t>Parametri</t>
        </is>
      </c>
      <c r="C19" s="11" t="inlineStr">
        <is>
          <t>Offerte</t>
        </is>
      </c>
      <c r="E19" s="11" t="inlineStr">
        <is>
          <t>Risultati</t>
        </is>
      </c>
      <c r="G19" s="11" t="inlineStr">
        <is>
          <t>Confronto web</t>
        </is>
      </c>
    </row>
    <row r="21">
      <c r="A21" s="11" t="inlineStr">
        <is>
          <t>Guida</t>
        </is>
      </c>
      <c r="C21" s="11" t="inlineStr">
        <is>
          <t>Glossario</t>
        </is>
      </c>
      <c r="E21" s="11" t="inlineStr">
        <is>
          <t>Log ottimizzazione</t>
        </is>
      </c>
    </row>
    <row r="23">
      <c r="A23" s="12" t="inlineStr">
        <is>
          <t>CheckBeforeRun</t>
        </is>
      </c>
      <c r="B23" s="10" t="n"/>
      <c r="C23" s="10" t="inlineStr">
        <is>
          <t>Controlla setup e dati prima di simulare.</t>
        </is>
      </c>
      <c r="D23" s="10" t="n"/>
      <c r="E23" s="10" t="n"/>
      <c r="F23" s="10" t="n"/>
      <c r="G23" s="10" t="n"/>
      <c r="H23" s="10" t="n"/>
    </row>
    <row r="24">
      <c r="A24" s="12" t="inlineStr">
        <is>
          <t>SimulaScenario</t>
        </is>
      </c>
      <c r="B24" s="10" t="n"/>
      <c r="C24" s="10" t="inlineStr">
        <is>
          <t>Calcola punteggi, combinatorie e vincitori.</t>
        </is>
      </c>
      <c r="D24" s="10" t="n"/>
      <c r="E24" s="10" t="n"/>
      <c r="F24" s="10" t="n"/>
      <c r="G24" s="10" t="n"/>
      <c r="H24" s="10" t="n"/>
    </row>
    <row r="25">
      <c r="A25" s="12" t="inlineStr">
        <is>
          <t>OttimizzaLottoAttivo</t>
        </is>
      </c>
      <c r="B25" s="10" t="n"/>
      <c r="C25" s="10" t="inlineStr">
        <is>
          <t>Applica iterazioni Q/T al bidder indicato.</t>
        </is>
      </c>
      <c r="D25" s="10" t="n"/>
      <c r="E25" s="10" t="n"/>
      <c r="F25" s="10" t="n"/>
      <c r="G25" s="10" t="n"/>
      <c r="H25" s="10" t="n"/>
    </row>
    <row r="26">
      <c r="A26" s="12" t="inlineStr">
        <is>
          <t>ConfrontoWebGolden</t>
        </is>
      </c>
      <c r="B26" s="10" t="n"/>
      <c r="C26" s="10" t="inlineStr">
        <is>
          <t>Verifica i totali attesi copiati dal web.</t>
        </is>
      </c>
      <c r="D26" s="10" t="n"/>
      <c r="E26" s="10" t="n"/>
      <c r="F26" s="10" t="n"/>
      <c r="G26" s="10" t="n"/>
      <c r="H26" s="10" t="n"/>
    </row>
    <row r="29" ht="22" customHeight="1">
      <c r="A29" s="6" t="inlineStr">
        <is>
          <t>Limiti da ricordare</t>
        </is>
      </c>
    </row>
    <row r="30">
      <c r="A30" s="13" t="inlineStr">
        <is>
          <t>Excel resta in modalità light: il web conserva scoring completo, warning avanzati, persistenza e confronto scenari.</t>
        </is>
      </c>
    </row>
    <row r="31">
      <c r="A31" s="14" t="inlineStr">
        <is>
          <t>I costi e le leve sono ipotesi operative: non sono dati ufficiali di gara.</t>
        </is>
      </c>
    </row>
    <row r="32">
      <c r="A32" s="14" t="inlineStr">
        <is>
          <t>Se Excel blocca le macro dopo il download, sblocca il file dalle proprietà del sistema prima dell'uso.</t>
        </is>
      </c>
    </row>
  </sheetData>
  <mergeCells count="30">
    <mergeCell ref="C25:H25"/>
    <mergeCell ref="A30:H30"/>
    <mergeCell ref="C6:D6"/>
    <mergeCell ref="C5:D5"/>
    <mergeCell ref="E5:F5"/>
    <mergeCell ref="A1:H1"/>
    <mergeCell ref="C12:H12"/>
    <mergeCell ref="A6:B6"/>
    <mergeCell ref="C11:H11"/>
    <mergeCell ref="A7:B7"/>
    <mergeCell ref="G7:H7"/>
    <mergeCell ref="C23:H23"/>
    <mergeCell ref="G6:H6"/>
    <mergeCell ref="A18:H18"/>
    <mergeCell ref="E6:F6"/>
    <mergeCell ref="C13:H13"/>
    <mergeCell ref="A2:H2"/>
    <mergeCell ref="A5:B5"/>
    <mergeCell ref="G5:H5"/>
    <mergeCell ref="A32:H32"/>
    <mergeCell ref="C15:H15"/>
    <mergeCell ref="A4:H4"/>
    <mergeCell ref="C24:H24"/>
    <mergeCell ref="C7:D7"/>
    <mergeCell ref="A29:H29"/>
    <mergeCell ref="C14:H14"/>
    <mergeCell ref="E7:F7"/>
    <mergeCell ref="A10:H10"/>
    <mergeCell ref="C26:H26"/>
    <mergeCell ref="A31:H31"/>
  </mergeCells>
  <hyperlinks>
    <hyperlink xmlns:r="http://schemas.openxmlformats.org/officeDocument/2006/relationships" ref="A19" r:id="rId1"/>
    <hyperlink xmlns:r="http://schemas.openxmlformats.org/officeDocument/2006/relationships" ref="C19" r:id="rId2"/>
    <hyperlink xmlns:r="http://schemas.openxmlformats.org/officeDocument/2006/relationships" ref="E19" r:id="rId3"/>
    <hyperlink xmlns:r="http://schemas.openxmlformats.org/officeDocument/2006/relationships" ref="G19" r:id="rId4"/>
    <hyperlink xmlns:r="http://schemas.openxmlformats.org/officeDocument/2006/relationships" ref="A21" r:id="rId5"/>
    <hyperlink xmlns:r="http://schemas.openxmlformats.org/officeDocument/2006/relationships" ref="C21" r:id="rId6"/>
    <hyperlink xmlns:r="http://schemas.openxmlformats.org/officeDocument/2006/relationships" ref="E21" r:id="rId7"/>
  </hyperlinks>
  <pageMargins left="0.25" right="0.25" top="0.5" bottom="0.5" header="0.5" footer="0.5"/>
  <pageSetup fitToHeight="0" fitToWidth="1"/>
</worksheet>
</file>

<file path=xl/worksheets/sheet2.xml><?xml version="1.0" encoding="utf-8"?>
<worksheet xmlns="http://schemas.openxmlformats.org/spreadsheetml/2006/main">
  <sheetPr codeName="Foglio1">
    <tabColor rgb="005B9BD5"/>
    <outlinePr summaryBelow="1" summaryRight="1"/>
    <pageSetUpPr fitToPage="1"/>
  </sheetPr>
  <dimension ref="A1:H14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10" defaultColWidth="8.83203125" defaultRowHeight="15"/>
  <cols>
    <col width="8" customWidth="1" min="1" max="1"/>
    <col width="20" customWidth="1" min="2" max="2"/>
    <col width="24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4" t="inlineStr">
        <is>
          <t>Istruzioni rapide</t>
        </is>
      </c>
    </row>
    <row r="2">
      <c r="A2" s="5" t="inlineStr">
        <is>
          <t>Punto di partenza per usare il file senza leggere documenti esterni.</t>
        </is>
      </c>
    </row>
    <row r="4" ht="22" customHeight="1">
      <c r="A4" s="6" t="inlineStr">
        <is>
          <t>Percorso consigliato</t>
        </is>
      </c>
    </row>
    <row r="5">
      <c r="A5" s="15" t="inlineStr">
        <is>
          <t>1</t>
        </is>
      </c>
      <c r="B5" s="16" t="inlineStr">
        <is>
          <t>Dashboard</t>
        </is>
      </c>
      <c r="C5" s="10" t="inlineStr">
        <is>
          <t>Apri la dashboard per orientarti e passare ai fogli principali.</t>
        </is>
      </c>
      <c r="D5" s="10" t="n"/>
      <c r="E5" s="10" t="n"/>
      <c r="F5" s="10" t="n"/>
      <c r="G5" s="10" t="n"/>
      <c r="H5" s="10" t="n"/>
    </row>
    <row r="6">
      <c r="A6" s="15" t="inlineStr">
        <is>
          <t>2</t>
        </is>
      </c>
      <c r="B6" s="16" t="inlineStr">
        <is>
          <t>Parametri</t>
        </is>
      </c>
      <c r="C6" s="10" t="inlineStr">
        <is>
          <t>Imposta soglia tecnica e lotto attivo.</t>
        </is>
      </c>
      <c r="D6" s="10" t="n"/>
      <c r="E6" s="10" t="n"/>
      <c r="F6" s="10" t="n"/>
      <c r="G6" s="10" t="n"/>
      <c r="H6" s="10" t="n"/>
    </row>
    <row r="7">
      <c r="A7" s="15" t="inlineStr">
        <is>
          <t>3</t>
        </is>
      </c>
      <c r="B7" s="16" t="inlineStr">
        <is>
          <t>Offerte</t>
        </is>
      </c>
      <c r="C7" s="10" t="inlineStr">
        <is>
          <t>Compila concorrenti, lotti attivi, tecnico e ribasso.</t>
        </is>
      </c>
      <c r="D7" s="10" t="n"/>
      <c r="E7" s="10" t="n"/>
      <c r="F7" s="10" t="n"/>
      <c r="G7" s="10" t="n"/>
      <c r="H7" s="10" t="n"/>
    </row>
    <row r="8">
      <c r="A8" s="15" t="inlineStr">
        <is>
          <t>4</t>
        </is>
      </c>
      <c r="B8" s="16" t="inlineStr">
        <is>
          <t>Macro</t>
        </is>
      </c>
      <c r="C8" s="10" t="inlineStr">
        <is>
          <t>Esegui CheckBeforeRun, SimulaScenario e, se serve, OttimizzaLottoAttivo.</t>
        </is>
      </c>
      <c r="D8" s="10" t="n"/>
      <c r="E8" s="10" t="n"/>
      <c r="F8" s="10" t="n"/>
      <c r="G8" s="10" t="n"/>
      <c r="H8" s="10" t="n"/>
    </row>
    <row r="9">
      <c r="A9" s="15" t="inlineStr">
        <is>
          <t>5</t>
        </is>
      </c>
      <c r="B9" s="16" t="inlineStr">
        <is>
          <t>Confronto web</t>
        </is>
      </c>
      <c r="C9" s="10" t="inlineStr">
        <is>
          <t>Incolla i valori attesi in ConfrontoWeb!J2:J5 e lancia ConfrontoWebGolden.</t>
        </is>
      </c>
      <c r="D9" s="10" t="n"/>
      <c r="E9" s="10" t="n"/>
      <c r="F9" s="10" t="n"/>
      <c r="G9" s="10" t="n"/>
      <c r="H9" s="10" t="n"/>
    </row>
    <row r="12" ht="22" customHeight="1">
      <c r="A12" s="6" t="inlineStr">
        <is>
          <t>Avviso</t>
        </is>
      </c>
    </row>
    <row r="13">
      <c r="A13" s="17" t="inlineStr">
        <is>
          <t>Il workbook è un supporto offline in modalità light. Per analisi completa, warning documentali e confronto scenari salvati resta centrale la web app.</t>
        </is>
      </c>
    </row>
    <row r="14"/>
  </sheetData>
  <mergeCells count="10">
    <mergeCell ref="A12:H12"/>
    <mergeCell ref="A4:H4"/>
    <mergeCell ref="C6:H6"/>
    <mergeCell ref="A13:H14"/>
    <mergeCell ref="C5:H5"/>
    <mergeCell ref="A2:H2"/>
    <mergeCell ref="C9:H9"/>
    <mergeCell ref="C8:H8"/>
    <mergeCell ref="A1:H1"/>
    <mergeCell ref="C7:H7"/>
  </mergeCells>
  <pageMargins left="0.25" right="0.25" top="0.5" bottom="0.5" header="0.5" footer="0.5"/>
  <pageSetup fitToHeight="0" fitToWidth="1"/>
</worksheet>
</file>

<file path=xl/worksheets/sheet3.xml><?xml version="1.0" encoding="utf-8"?>
<worksheet xmlns="http://schemas.openxmlformats.org/spreadsheetml/2006/main">
  <sheetPr codeName="Foglio2">
    <tabColor rgb="00FFC000"/>
    <outlinePr summaryBelow="1" summaryRight="1"/>
    <pageSetUpPr fitToPage="1"/>
  </sheetPr>
  <dimension ref="A1:C5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0" customWidth="1" min="3" max="3"/>
  </cols>
  <sheetData>
    <row r="1" ht="24" customHeight="1">
      <c r="A1" s="18" t="inlineStr">
        <is>
          <t>Parametro</t>
        </is>
      </c>
      <c r="B1" s="18" t="inlineStr">
        <is>
          <t>Valore</t>
        </is>
      </c>
      <c r="C1" s="18" t="inlineStr">
        <is>
          <t>Note</t>
        </is>
      </c>
    </row>
    <row r="2">
      <c r="A2" s="10" t="inlineStr">
        <is>
          <t>SogliaTecnica</t>
        </is>
      </c>
      <c r="B2" s="19" t="n">
        <v>36</v>
      </c>
      <c r="C2" s="10" t="inlineStr">
        <is>
          <t>Soglia tecnica minima per ammissibilità (B2)</t>
        </is>
      </c>
    </row>
    <row r="3">
      <c r="A3" s="10" t="inlineStr">
        <is>
          <t>LottoAttivo</t>
        </is>
      </c>
      <c r="B3" s="19" t="inlineStr">
        <is>
          <t>L1</t>
        </is>
      </c>
      <c r="C3" s="10" t="inlineStr">
        <is>
          <t>Lotto attivo per simulazione/ottimizzazione (B3)</t>
        </is>
      </c>
    </row>
    <row r="4">
      <c r="A4" s="10" t="inlineStr">
        <is>
          <t>PunteggioEconomicoMax</t>
        </is>
      </c>
      <c r="B4" s="19" t="n">
        <v>30</v>
      </c>
      <c r="C4" s="10" t="inlineStr">
        <is>
          <t>Max punti economici</t>
        </is>
      </c>
    </row>
    <row r="5">
      <c r="A5" s="10" t="inlineStr">
        <is>
          <t>PunteggioTecnicoMax</t>
        </is>
      </c>
      <c r="B5" s="19" t="n">
        <v>70</v>
      </c>
      <c r="C5" s="10" t="inlineStr">
        <is>
          <t>Max punti tecnici</t>
        </is>
      </c>
    </row>
  </sheetData>
  <dataValidations count="2">
    <dataValidation sqref="B3" showDropDown="0" showInputMessage="0" showErrorMessage="0" allowBlank="0" type="list">
      <formula1>"L1,L2,L3,L4"</formula1>
    </dataValidation>
    <dataValidation sqref="B2" showDropDown="0" showInputMessage="0" showErrorMessage="0" allowBlank="0" type="decimal" operator="between">
      <formula1>0</formula1>
      <formula2>70</formula2>
    </dataValidation>
  </dataValidations>
  <pageMargins left="0.25" right="0.25" top="0.5" bottom="0.5" header="0.5" footer="0.5"/>
  <pageSetup fitToHeight="0" fitToWidth="1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oglio3">
    <tabColor rgb="0070AD47"/>
    <outlinePr summaryBelow="1" summaryRight="1"/>
    <pageSetUpPr fitToPage="1"/>
  </sheetPr>
  <dimension ref="A1:C9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4" customWidth="1" min="3" max="3"/>
  </cols>
  <sheetData>
    <row r="1" ht="24" customHeight="1">
      <c r="A1" s="18" t="inlineStr">
        <is>
          <t>Parametro</t>
        </is>
      </c>
      <c r="B1" s="18" t="inlineStr">
        <is>
          <t>Valore</t>
        </is>
      </c>
      <c r="C1" s="18" t="inlineStr">
        <is>
          <t>Descrizione</t>
        </is>
      </c>
    </row>
    <row r="2">
      <c r="A2" s="10" t="inlineStr">
        <is>
          <t>BidderId</t>
        </is>
      </c>
      <c r="B2" s="19" t="n"/>
      <c r="C2" s="10" t="inlineStr">
        <is>
          <t>Bidder target ottimizzazione (B2)</t>
        </is>
      </c>
    </row>
    <row r="3">
      <c r="A3" s="10" t="inlineStr">
        <is>
          <t>IterMax</t>
        </is>
      </c>
      <c r="B3" s="19" t="n">
        <v>100</v>
      </c>
      <c r="C3" s="10" t="inlineStr">
        <is>
          <t>Numero massimo iterazioni (B3)</t>
        </is>
      </c>
    </row>
    <row r="4">
      <c r="A4" s="10" t="inlineStr">
        <is>
          <t>StepQ</t>
        </is>
      </c>
      <c r="B4" s="19" t="n">
        <v>0.5</v>
      </c>
      <c r="C4" s="10" t="inlineStr">
        <is>
          <t>Incremento leva Q (B4)</t>
        </is>
      </c>
    </row>
    <row r="5">
      <c r="A5" s="10" t="inlineStr">
        <is>
          <t>Note</t>
        </is>
      </c>
      <c r="B5" s="10" t="n"/>
      <c r="C5" s="10" t="inlineStr">
        <is>
          <t>B5 riservata</t>
        </is>
      </c>
    </row>
    <row r="6">
      <c r="A6" s="10" t="inlineStr">
        <is>
          <t>RibassoStep</t>
        </is>
      </c>
      <c r="B6" s="19" t="n">
        <v>0.1</v>
      </c>
      <c r="C6" s="10" t="inlineStr">
        <is>
          <t>Step riduzione ribasso (B6)</t>
        </is>
      </c>
    </row>
    <row r="7">
      <c r="A7" s="10" t="inlineStr">
        <is>
          <t>TettoQ</t>
        </is>
      </c>
      <c r="B7" s="19" t="n">
        <v>70</v>
      </c>
      <c r="C7" s="10" t="inlineStr">
        <is>
          <t>Massimale Q (B7)</t>
        </is>
      </c>
    </row>
    <row r="8">
      <c r="A8" s="10" t="inlineStr">
        <is>
          <t>StepT</t>
        </is>
      </c>
      <c r="B8" s="19" t="n">
        <v>0.5</v>
      </c>
      <c r="C8" s="10" t="inlineStr">
        <is>
          <t>Incremento leva T (B8)</t>
        </is>
      </c>
    </row>
    <row r="9">
      <c r="A9" s="10" t="inlineStr">
        <is>
          <t>TettoT</t>
        </is>
      </c>
      <c r="B9" s="19" t="n">
        <v>70</v>
      </c>
      <c r="C9" s="10" t="inlineStr">
        <is>
          <t>Massimale T (B9)</t>
        </is>
      </c>
    </row>
  </sheetData>
  <dataValidations count="2">
    <dataValidation sqref="B3" showDropDown="0" showInputMessage="0" showErrorMessage="0" allowBlank="0" type="whole" operator="between">
      <formula1>1</formula1>
      <formula2>1000</formula2>
    </dataValidation>
    <dataValidation sqref="B4 B6 B7 B8 B9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oglio4">
    <tabColor rgb="00ED7D31"/>
    <outlinePr summaryBelow="1" summaryRight="1"/>
    <pageSetUpPr fitToPage="1"/>
  </sheetPr>
  <dimension ref="A1:F200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6" customWidth="1" min="1" max="1"/>
    <col width="26" customWidth="1" min="2" max="2"/>
    <col width="12" customWidth="1" min="3" max="4"/>
    <col width="12" customWidth="1" min="4" max="4"/>
    <col width="24" customWidth="1" min="5" max="5"/>
    <col width="24" customWidth="1" min="6" max="6"/>
  </cols>
  <sheetData>
    <row r="1" ht="24" customHeight="1">
      <c r="A1" s="18" t="inlineStr">
        <is>
          <t>BidderId</t>
        </is>
      </c>
      <c r="B1" s="18" t="inlineStr">
        <is>
          <t>BidderNome</t>
        </is>
      </c>
      <c r="C1" s="18" t="inlineStr">
        <is>
          <t>Lotto</t>
        </is>
      </c>
      <c r="D1" s="18" t="inlineStr">
        <is>
          <t>Attivo</t>
        </is>
      </c>
      <c r="E1" s="18" t="inlineStr">
        <is>
          <t>PunteggioTecnicoRaw</t>
        </is>
      </c>
      <c r="F1" s="18" t="inlineStr">
        <is>
          <t>RibassoMedioPercento</t>
        </is>
      </c>
    </row>
    <row r="2">
      <c r="A2" s="20" t="inlineStr">
        <is>
          <t>B1</t>
        </is>
      </c>
      <c r="B2" s="20" t="inlineStr">
        <is>
          <t>Operatore A</t>
        </is>
      </c>
      <c r="C2" s="20" t="inlineStr">
        <is>
          <t>L1</t>
        </is>
      </c>
      <c r="D2" s="20" t="inlineStr">
        <is>
          <t>1</t>
        </is>
      </c>
      <c r="E2" s="20" t="inlineStr">
        <is>
          <t>42</t>
        </is>
      </c>
      <c r="F2" s="20" t="inlineStr">
        <is>
          <t>6.1</t>
        </is>
      </c>
    </row>
    <row r="3">
      <c r="A3" s="20" t="inlineStr">
        <is>
          <t>B1</t>
        </is>
      </c>
      <c r="B3" s="20" t="inlineStr">
        <is>
          <t>Operatore A</t>
        </is>
      </c>
      <c r="C3" s="20" t="inlineStr">
        <is>
          <t>L2</t>
        </is>
      </c>
      <c r="D3" s="20" t="inlineStr">
        <is>
          <t>1</t>
        </is>
      </c>
      <c r="E3" s="20" t="inlineStr">
        <is>
          <t>45</t>
        </is>
      </c>
      <c r="F3" s="20" t="inlineStr">
        <is>
          <t>5.2</t>
        </is>
      </c>
    </row>
    <row r="4">
      <c r="A4" s="20" t="inlineStr">
        <is>
          <t>B1</t>
        </is>
      </c>
      <c r="B4" s="20" t="inlineStr">
        <is>
          <t>Operatore A</t>
        </is>
      </c>
      <c r="C4" s="20" t="inlineStr">
        <is>
          <t>L3</t>
        </is>
      </c>
      <c r="D4" s="20" t="inlineStr">
        <is>
          <t>0</t>
        </is>
      </c>
      <c r="E4" s="20" t="inlineStr">
        <is>
          <t>0</t>
        </is>
      </c>
      <c r="F4" s="20" t="inlineStr">
        <is>
          <t>0</t>
        </is>
      </c>
    </row>
    <row r="5">
      <c r="A5" s="20" t="inlineStr">
        <is>
          <t>B1</t>
        </is>
      </c>
      <c r="B5" s="20" t="inlineStr">
        <is>
          <t>Operatore A</t>
        </is>
      </c>
      <c r="C5" s="20" t="inlineStr">
        <is>
          <t>L4</t>
        </is>
      </c>
      <c r="D5" s="20" t="inlineStr">
        <is>
          <t>1</t>
        </is>
      </c>
      <c r="E5" s="20" t="inlineStr">
        <is>
          <t>39</t>
        </is>
      </c>
      <c r="F5" s="20" t="inlineStr">
        <is>
          <t>4.7</t>
        </is>
      </c>
    </row>
    <row r="6">
      <c r="A6" s="20" t="inlineStr">
        <is>
          <t>B2</t>
        </is>
      </c>
      <c r="B6" s="20" t="inlineStr">
        <is>
          <t>Operatore B</t>
        </is>
      </c>
      <c r="C6" s="20" t="inlineStr">
        <is>
          <t>L1</t>
        </is>
      </c>
      <c r="D6" s="20" t="inlineStr">
        <is>
          <t>1</t>
        </is>
      </c>
      <c r="E6" s="20" t="inlineStr">
        <is>
          <t>38</t>
        </is>
      </c>
      <c r="F6" s="20" t="inlineStr">
        <is>
          <t>6.4</t>
        </is>
      </c>
    </row>
    <row r="7">
      <c r="A7" s="20" t="inlineStr">
        <is>
          <t>B2</t>
        </is>
      </c>
      <c r="B7" s="20" t="inlineStr">
        <is>
          <t>Operatore B</t>
        </is>
      </c>
      <c r="C7" s="20" t="inlineStr">
        <is>
          <t>L2</t>
        </is>
      </c>
      <c r="D7" s="20" t="inlineStr">
        <is>
          <t>1</t>
        </is>
      </c>
      <c r="E7" s="20" t="inlineStr">
        <is>
          <t>41</t>
        </is>
      </c>
      <c r="F7" s="20" t="inlineStr">
        <is>
          <t>5.8</t>
        </is>
      </c>
    </row>
    <row r="8">
      <c r="A8" s="20" t="inlineStr">
        <is>
          <t>B2</t>
        </is>
      </c>
      <c r="B8" s="20" t="inlineStr">
        <is>
          <t>Operatore B</t>
        </is>
      </c>
      <c r="C8" s="20" t="inlineStr">
        <is>
          <t>L3</t>
        </is>
      </c>
      <c r="D8" s="20" t="inlineStr">
        <is>
          <t>1</t>
        </is>
      </c>
      <c r="E8" s="20" t="inlineStr">
        <is>
          <t>43</t>
        </is>
      </c>
      <c r="F8" s="20" t="inlineStr">
        <is>
          <t>5.1</t>
        </is>
      </c>
    </row>
    <row r="9">
      <c r="A9" s="20" t="inlineStr">
        <is>
          <t>B2</t>
        </is>
      </c>
      <c r="B9" s="20" t="inlineStr">
        <is>
          <t>Operatore B</t>
        </is>
      </c>
      <c r="C9" s="20" t="inlineStr">
        <is>
          <t>L4</t>
        </is>
      </c>
      <c r="D9" s="20" t="inlineStr">
        <is>
          <t>1</t>
        </is>
      </c>
      <c r="E9" s="20" t="inlineStr">
        <is>
          <t>40</t>
        </is>
      </c>
      <c r="F9" s="20" t="inlineStr">
        <is>
          <t>4.9</t>
        </is>
      </c>
    </row>
    <row r="10">
      <c r="A10" s="20" t="inlineStr">
        <is>
          <t>B3</t>
        </is>
      </c>
      <c r="B10" s="20" t="inlineStr">
        <is>
          <t>Operatore C</t>
        </is>
      </c>
      <c r="C10" s="20" t="inlineStr">
        <is>
          <t>L1</t>
        </is>
      </c>
      <c r="D10" s="20" t="inlineStr">
        <is>
          <t>1</t>
        </is>
      </c>
      <c r="E10" s="20" t="inlineStr">
        <is>
          <t>33</t>
        </is>
      </c>
      <c r="F10" s="20" t="inlineStr">
        <is>
          <t>7.2</t>
        </is>
      </c>
    </row>
    <row r="11">
      <c r="A11" s="20" t="inlineStr">
        <is>
          <t>B3</t>
        </is>
      </c>
      <c r="B11" s="20" t="inlineStr">
        <is>
          <t>Operatore C</t>
        </is>
      </c>
      <c r="C11" s="20" t="inlineStr">
        <is>
          <t>L2</t>
        </is>
      </c>
      <c r="D11" s="20" t="inlineStr">
        <is>
          <t>1</t>
        </is>
      </c>
      <c r="E11" s="20" t="inlineStr">
        <is>
          <t>37</t>
        </is>
      </c>
      <c r="F11" s="20" t="inlineStr">
        <is>
          <t>6.8</t>
        </is>
      </c>
    </row>
    <row r="12">
      <c r="A12" s="20" t="inlineStr">
        <is>
          <t>B3</t>
        </is>
      </c>
      <c r="B12" s="20" t="inlineStr">
        <is>
          <t>Operatore C</t>
        </is>
      </c>
      <c r="C12" s="20" t="inlineStr">
        <is>
          <t>L3</t>
        </is>
      </c>
      <c r="D12" s="20" t="inlineStr">
        <is>
          <t>1</t>
        </is>
      </c>
      <c r="E12" s="20" t="inlineStr">
        <is>
          <t>36</t>
        </is>
      </c>
      <c r="F12" s="20" t="inlineStr">
        <is>
          <t>6.3</t>
        </is>
      </c>
    </row>
    <row r="13">
      <c r="A13" s="20" t="inlineStr">
        <is>
          <t>B3</t>
        </is>
      </c>
      <c r="B13" s="20" t="inlineStr">
        <is>
          <t>Operatore C</t>
        </is>
      </c>
      <c r="C13" s="20" t="inlineStr">
        <is>
          <t>L4</t>
        </is>
      </c>
      <c r="D13" s="20" t="inlineStr">
        <is>
          <t>1</t>
        </is>
      </c>
      <c r="E13" s="20" t="inlineStr">
        <is>
          <t>35</t>
        </is>
      </c>
      <c r="F13" s="20" t="inlineStr">
        <is>
          <t>6.0</t>
        </is>
      </c>
    </row>
    <row r="14">
      <c r="A14" s="20" t="n"/>
      <c r="B14" s="20" t="n"/>
      <c r="C14" s="20" t="n"/>
      <c r="D14" s="20" t="n"/>
      <c r="E14" s="20" t="n"/>
      <c r="F14" s="20" t="n"/>
    </row>
    <row r="15">
      <c r="A15" s="20" t="n"/>
      <c r="B15" s="20" t="n"/>
      <c r="C15" s="20" t="n"/>
      <c r="D15" s="20" t="n"/>
      <c r="E15" s="20" t="n"/>
      <c r="F15" s="20" t="n"/>
    </row>
    <row r="16">
      <c r="A16" s="20" t="n"/>
      <c r="B16" s="20" t="n"/>
      <c r="C16" s="20" t="n"/>
      <c r="D16" s="20" t="n"/>
      <c r="E16" s="20" t="n"/>
      <c r="F16" s="20" t="n"/>
    </row>
    <row r="17">
      <c r="A17" s="20" t="n"/>
      <c r="B17" s="20" t="n"/>
      <c r="C17" s="20" t="n"/>
      <c r="D17" s="20" t="n"/>
      <c r="E17" s="20" t="n"/>
      <c r="F17" s="20" t="n"/>
    </row>
    <row r="18">
      <c r="A18" s="20" t="n"/>
      <c r="B18" s="20" t="n"/>
      <c r="C18" s="20" t="n"/>
      <c r="D18" s="20" t="n"/>
      <c r="E18" s="20" t="n"/>
      <c r="F18" s="20" t="n"/>
    </row>
    <row r="19">
      <c r="A19" s="20" t="n"/>
      <c r="B19" s="20" t="n"/>
      <c r="C19" s="20" t="n"/>
      <c r="D19" s="20" t="n"/>
      <c r="E19" s="20" t="n"/>
      <c r="F19" s="20" t="n"/>
    </row>
    <row r="20">
      <c r="A20" s="20" t="n"/>
      <c r="B20" s="20" t="n"/>
      <c r="C20" s="20" t="n"/>
      <c r="D20" s="20" t="n"/>
      <c r="E20" s="20" t="n"/>
      <c r="F20" s="20" t="n"/>
    </row>
    <row r="21">
      <c r="A21" s="20" t="n"/>
      <c r="B21" s="20" t="n"/>
      <c r="C21" s="20" t="n"/>
      <c r="D21" s="20" t="n"/>
      <c r="E21" s="20" t="n"/>
      <c r="F21" s="20" t="n"/>
    </row>
    <row r="22">
      <c r="A22" s="20" t="n"/>
      <c r="B22" s="20" t="n"/>
      <c r="C22" s="20" t="n"/>
      <c r="D22" s="20" t="n"/>
      <c r="E22" s="20" t="n"/>
      <c r="F22" s="20" t="n"/>
    </row>
    <row r="23">
      <c r="A23" s="20" t="n"/>
      <c r="B23" s="20" t="n"/>
      <c r="C23" s="20" t="n"/>
      <c r="D23" s="20" t="n"/>
      <c r="E23" s="20" t="n"/>
      <c r="F23" s="20" t="n"/>
    </row>
    <row r="24">
      <c r="A24" s="20" t="n"/>
      <c r="B24" s="20" t="n"/>
      <c r="C24" s="20" t="n"/>
      <c r="D24" s="20" t="n"/>
      <c r="E24" s="20" t="n"/>
      <c r="F24" s="20" t="n"/>
    </row>
    <row r="25">
      <c r="A25" s="20" t="n"/>
      <c r="B25" s="20" t="n"/>
      <c r="C25" s="20" t="n"/>
      <c r="D25" s="20" t="n"/>
      <c r="E25" s="20" t="n"/>
      <c r="F25" s="20" t="n"/>
    </row>
    <row r="26">
      <c r="A26" s="20" t="n"/>
      <c r="B26" s="20" t="n"/>
      <c r="C26" s="20" t="n"/>
      <c r="D26" s="20" t="n"/>
      <c r="E26" s="20" t="n"/>
      <c r="F26" s="20" t="n"/>
    </row>
    <row r="27">
      <c r="A27" s="20" t="n"/>
      <c r="B27" s="20" t="n"/>
      <c r="C27" s="20" t="n"/>
      <c r="D27" s="20" t="n"/>
      <c r="E27" s="20" t="n"/>
      <c r="F27" s="20" t="n"/>
    </row>
    <row r="28">
      <c r="A28" s="20" t="n"/>
      <c r="B28" s="20" t="n"/>
      <c r="C28" s="20" t="n"/>
      <c r="D28" s="20" t="n"/>
      <c r="E28" s="20" t="n"/>
      <c r="F28" s="20" t="n"/>
    </row>
    <row r="29">
      <c r="A29" s="20" t="n"/>
      <c r="B29" s="20" t="n"/>
      <c r="C29" s="20" t="n"/>
      <c r="D29" s="20" t="n"/>
      <c r="E29" s="20" t="n"/>
      <c r="F29" s="20" t="n"/>
    </row>
    <row r="30">
      <c r="A30" s="20" t="n"/>
      <c r="B30" s="20" t="n"/>
      <c r="C30" s="20" t="n"/>
      <c r="D30" s="20" t="n"/>
      <c r="E30" s="20" t="n"/>
      <c r="F30" s="20" t="n"/>
    </row>
    <row r="31">
      <c r="A31" s="20" t="n"/>
      <c r="B31" s="20" t="n"/>
      <c r="C31" s="20" t="n"/>
      <c r="D31" s="20" t="n"/>
      <c r="E31" s="20" t="n"/>
      <c r="F31" s="20" t="n"/>
    </row>
    <row r="32">
      <c r="A32" s="20" t="n"/>
      <c r="B32" s="20" t="n"/>
      <c r="C32" s="20" t="n"/>
      <c r="D32" s="20" t="n"/>
      <c r="E32" s="20" t="n"/>
      <c r="F32" s="20" t="n"/>
    </row>
    <row r="33">
      <c r="A33" s="20" t="n"/>
      <c r="B33" s="20" t="n"/>
      <c r="C33" s="20" t="n"/>
      <c r="D33" s="20" t="n"/>
      <c r="E33" s="20" t="n"/>
      <c r="F33" s="20" t="n"/>
    </row>
    <row r="34">
      <c r="A34" s="20" t="n"/>
      <c r="B34" s="20" t="n"/>
      <c r="C34" s="20" t="n"/>
      <c r="D34" s="20" t="n"/>
      <c r="E34" s="20" t="n"/>
      <c r="F34" s="20" t="n"/>
    </row>
    <row r="35">
      <c r="A35" s="20" t="n"/>
      <c r="B35" s="20" t="n"/>
      <c r="C35" s="20" t="n"/>
      <c r="D35" s="20" t="n"/>
      <c r="E35" s="20" t="n"/>
      <c r="F35" s="20" t="n"/>
    </row>
    <row r="36">
      <c r="A36" s="20" t="n"/>
      <c r="B36" s="20" t="n"/>
      <c r="C36" s="20" t="n"/>
      <c r="D36" s="20" t="n"/>
      <c r="E36" s="20" t="n"/>
      <c r="F36" s="20" t="n"/>
    </row>
    <row r="37">
      <c r="A37" s="20" t="n"/>
      <c r="B37" s="20" t="n"/>
      <c r="C37" s="20" t="n"/>
      <c r="D37" s="20" t="n"/>
      <c r="E37" s="20" t="n"/>
      <c r="F37" s="20" t="n"/>
    </row>
    <row r="38">
      <c r="A38" s="20" t="n"/>
      <c r="B38" s="20" t="n"/>
      <c r="C38" s="20" t="n"/>
      <c r="D38" s="20" t="n"/>
      <c r="E38" s="20" t="n"/>
      <c r="F38" s="20" t="n"/>
    </row>
    <row r="39">
      <c r="A39" s="20" t="n"/>
      <c r="B39" s="20" t="n"/>
      <c r="C39" s="20" t="n"/>
      <c r="D39" s="20" t="n"/>
      <c r="E39" s="20" t="n"/>
      <c r="F39" s="20" t="n"/>
    </row>
    <row r="40">
      <c r="A40" s="20" t="n"/>
      <c r="B40" s="20" t="n"/>
      <c r="C40" s="20" t="n"/>
      <c r="D40" s="20" t="n"/>
      <c r="E40" s="20" t="n"/>
      <c r="F40" s="20" t="n"/>
    </row>
    <row r="41">
      <c r="A41" s="20" t="n"/>
      <c r="B41" s="20" t="n"/>
      <c r="C41" s="20" t="n"/>
      <c r="D41" s="20" t="n"/>
      <c r="E41" s="20" t="n"/>
      <c r="F41" s="20" t="n"/>
    </row>
    <row r="42">
      <c r="A42" s="20" t="n"/>
      <c r="B42" s="20" t="n"/>
      <c r="C42" s="20" t="n"/>
      <c r="D42" s="20" t="n"/>
      <c r="E42" s="20" t="n"/>
      <c r="F42" s="20" t="n"/>
    </row>
    <row r="43">
      <c r="A43" s="20" t="n"/>
      <c r="B43" s="20" t="n"/>
      <c r="C43" s="20" t="n"/>
      <c r="D43" s="20" t="n"/>
      <c r="E43" s="20" t="n"/>
      <c r="F43" s="20" t="n"/>
    </row>
    <row r="44">
      <c r="A44" s="20" t="n"/>
      <c r="B44" s="20" t="n"/>
      <c r="C44" s="20" t="n"/>
      <c r="D44" s="20" t="n"/>
      <c r="E44" s="20" t="n"/>
      <c r="F44" s="20" t="n"/>
    </row>
    <row r="45">
      <c r="A45" s="20" t="n"/>
      <c r="B45" s="20" t="n"/>
      <c r="C45" s="20" t="n"/>
      <c r="D45" s="20" t="n"/>
      <c r="E45" s="20" t="n"/>
      <c r="F45" s="20" t="n"/>
    </row>
    <row r="46">
      <c r="A46" s="20" t="n"/>
      <c r="B46" s="20" t="n"/>
      <c r="C46" s="20" t="n"/>
      <c r="D46" s="20" t="n"/>
      <c r="E46" s="20" t="n"/>
      <c r="F46" s="20" t="n"/>
    </row>
    <row r="47">
      <c r="A47" s="20" t="n"/>
      <c r="B47" s="20" t="n"/>
      <c r="C47" s="20" t="n"/>
      <c r="D47" s="20" t="n"/>
      <c r="E47" s="20" t="n"/>
      <c r="F47" s="20" t="n"/>
    </row>
    <row r="48">
      <c r="A48" s="20" t="n"/>
      <c r="B48" s="20" t="n"/>
      <c r="C48" s="20" t="n"/>
      <c r="D48" s="20" t="n"/>
      <c r="E48" s="20" t="n"/>
      <c r="F48" s="20" t="n"/>
    </row>
    <row r="49">
      <c r="A49" s="20" t="n"/>
      <c r="B49" s="20" t="n"/>
      <c r="C49" s="20" t="n"/>
      <c r="D49" s="20" t="n"/>
      <c r="E49" s="20" t="n"/>
      <c r="F49" s="20" t="n"/>
    </row>
    <row r="50">
      <c r="A50" s="20" t="n"/>
      <c r="B50" s="20" t="n"/>
      <c r="C50" s="20" t="n"/>
      <c r="D50" s="20" t="n"/>
      <c r="E50" s="20" t="n"/>
      <c r="F50" s="20" t="n"/>
    </row>
    <row r="51">
      <c r="A51" s="20" t="n"/>
      <c r="B51" s="20" t="n"/>
      <c r="C51" s="20" t="n"/>
      <c r="D51" s="20" t="n"/>
      <c r="E51" s="20" t="n"/>
      <c r="F51" s="20" t="n"/>
    </row>
    <row r="52">
      <c r="A52" s="20" t="n"/>
      <c r="B52" s="20" t="n"/>
      <c r="C52" s="20" t="n"/>
      <c r="D52" s="20" t="n"/>
      <c r="E52" s="20" t="n"/>
      <c r="F52" s="20" t="n"/>
    </row>
    <row r="53">
      <c r="A53" s="20" t="n"/>
      <c r="B53" s="20" t="n"/>
      <c r="C53" s="20" t="n"/>
      <c r="D53" s="20" t="n"/>
      <c r="E53" s="20" t="n"/>
      <c r="F53" s="20" t="n"/>
    </row>
    <row r="54">
      <c r="A54" s="20" t="n"/>
      <c r="B54" s="20" t="n"/>
      <c r="C54" s="20" t="n"/>
      <c r="D54" s="20" t="n"/>
      <c r="E54" s="20" t="n"/>
      <c r="F54" s="20" t="n"/>
    </row>
    <row r="55">
      <c r="A55" s="20" t="n"/>
      <c r="B55" s="20" t="n"/>
      <c r="C55" s="20" t="n"/>
      <c r="D55" s="20" t="n"/>
      <c r="E55" s="20" t="n"/>
      <c r="F55" s="20" t="n"/>
    </row>
    <row r="56">
      <c r="A56" s="20" t="n"/>
      <c r="B56" s="20" t="n"/>
      <c r="C56" s="20" t="n"/>
      <c r="D56" s="20" t="n"/>
      <c r="E56" s="20" t="n"/>
      <c r="F56" s="20" t="n"/>
    </row>
    <row r="57">
      <c r="A57" s="20" t="n"/>
      <c r="B57" s="20" t="n"/>
      <c r="C57" s="20" t="n"/>
      <c r="D57" s="20" t="n"/>
      <c r="E57" s="20" t="n"/>
      <c r="F57" s="20" t="n"/>
    </row>
    <row r="58">
      <c r="A58" s="20" t="n"/>
      <c r="B58" s="20" t="n"/>
      <c r="C58" s="20" t="n"/>
      <c r="D58" s="20" t="n"/>
      <c r="E58" s="20" t="n"/>
      <c r="F58" s="20" t="n"/>
    </row>
    <row r="59">
      <c r="A59" s="20" t="n"/>
      <c r="B59" s="20" t="n"/>
      <c r="C59" s="20" t="n"/>
      <c r="D59" s="20" t="n"/>
      <c r="E59" s="20" t="n"/>
      <c r="F59" s="20" t="n"/>
    </row>
    <row r="60">
      <c r="A60" s="20" t="n"/>
      <c r="B60" s="20" t="n"/>
      <c r="C60" s="20" t="n"/>
      <c r="D60" s="20" t="n"/>
      <c r="E60" s="20" t="n"/>
      <c r="F60" s="20" t="n"/>
    </row>
    <row r="61">
      <c r="A61" s="20" t="n"/>
      <c r="B61" s="20" t="n"/>
      <c r="C61" s="20" t="n"/>
      <c r="D61" s="20" t="n"/>
      <c r="E61" s="20" t="n"/>
      <c r="F61" s="20" t="n"/>
    </row>
    <row r="62">
      <c r="A62" s="20" t="n"/>
      <c r="B62" s="20" t="n"/>
      <c r="C62" s="20" t="n"/>
      <c r="D62" s="20" t="n"/>
      <c r="E62" s="20" t="n"/>
      <c r="F62" s="20" t="n"/>
    </row>
    <row r="63">
      <c r="A63" s="20" t="n"/>
      <c r="B63" s="20" t="n"/>
      <c r="C63" s="20" t="n"/>
      <c r="D63" s="20" t="n"/>
      <c r="E63" s="20" t="n"/>
      <c r="F63" s="20" t="n"/>
    </row>
    <row r="64">
      <c r="A64" s="20" t="n"/>
      <c r="B64" s="20" t="n"/>
      <c r="C64" s="20" t="n"/>
      <c r="D64" s="20" t="n"/>
      <c r="E64" s="20" t="n"/>
      <c r="F64" s="20" t="n"/>
    </row>
    <row r="65">
      <c r="A65" s="20" t="n"/>
      <c r="B65" s="20" t="n"/>
      <c r="C65" s="20" t="n"/>
      <c r="D65" s="20" t="n"/>
      <c r="E65" s="20" t="n"/>
      <c r="F65" s="20" t="n"/>
    </row>
    <row r="66">
      <c r="A66" s="20" t="n"/>
      <c r="B66" s="20" t="n"/>
      <c r="C66" s="20" t="n"/>
      <c r="D66" s="20" t="n"/>
      <c r="E66" s="20" t="n"/>
      <c r="F66" s="20" t="n"/>
    </row>
    <row r="67">
      <c r="A67" s="20" t="n"/>
      <c r="B67" s="20" t="n"/>
      <c r="C67" s="20" t="n"/>
      <c r="D67" s="20" t="n"/>
      <c r="E67" s="20" t="n"/>
      <c r="F67" s="20" t="n"/>
    </row>
    <row r="68">
      <c r="A68" s="20" t="n"/>
      <c r="B68" s="20" t="n"/>
      <c r="C68" s="20" t="n"/>
      <c r="D68" s="20" t="n"/>
      <c r="E68" s="20" t="n"/>
      <c r="F68" s="20" t="n"/>
    </row>
    <row r="69">
      <c r="A69" s="20" t="n"/>
      <c r="B69" s="20" t="n"/>
      <c r="C69" s="20" t="n"/>
      <c r="D69" s="20" t="n"/>
      <c r="E69" s="20" t="n"/>
      <c r="F69" s="20" t="n"/>
    </row>
    <row r="70">
      <c r="A70" s="20" t="n"/>
      <c r="B70" s="20" t="n"/>
      <c r="C70" s="20" t="n"/>
      <c r="D70" s="20" t="n"/>
      <c r="E70" s="20" t="n"/>
      <c r="F70" s="20" t="n"/>
    </row>
    <row r="71">
      <c r="A71" s="20" t="n"/>
      <c r="B71" s="20" t="n"/>
      <c r="C71" s="20" t="n"/>
      <c r="D71" s="20" t="n"/>
      <c r="E71" s="20" t="n"/>
      <c r="F71" s="20" t="n"/>
    </row>
    <row r="72">
      <c r="A72" s="20" t="n"/>
      <c r="B72" s="20" t="n"/>
      <c r="C72" s="20" t="n"/>
      <c r="D72" s="20" t="n"/>
      <c r="E72" s="20" t="n"/>
      <c r="F72" s="20" t="n"/>
    </row>
    <row r="73">
      <c r="A73" s="20" t="n"/>
      <c r="B73" s="20" t="n"/>
      <c r="C73" s="20" t="n"/>
      <c r="D73" s="20" t="n"/>
      <c r="E73" s="20" t="n"/>
      <c r="F73" s="20" t="n"/>
    </row>
    <row r="74">
      <c r="A74" s="20" t="n"/>
      <c r="B74" s="20" t="n"/>
      <c r="C74" s="20" t="n"/>
      <c r="D74" s="20" t="n"/>
      <c r="E74" s="20" t="n"/>
      <c r="F74" s="20" t="n"/>
    </row>
    <row r="75">
      <c r="A75" s="20" t="n"/>
      <c r="B75" s="20" t="n"/>
      <c r="C75" s="20" t="n"/>
      <c r="D75" s="20" t="n"/>
      <c r="E75" s="20" t="n"/>
      <c r="F75" s="20" t="n"/>
    </row>
    <row r="76">
      <c r="A76" s="20" t="n"/>
      <c r="B76" s="20" t="n"/>
      <c r="C76" s="20" t="n"/>
      <c r="D76" s="20" t="n"/>
      <c r="E76" s="20" t="n"/>
      <c r="F76" s="20" t="n"/>
    </row>
    <row r="77">
      <c r="A77" s="20" t="n"/>
      <c r="B77" s="20" t="n"/>
      <c r="C77" s="20" t="n"/>
      <c r="D77" s="20" t="n"/>
      <c r="E77" s="20" t="n"/>
      <c r="F77" s="20" t="n"/>
    </row>
    <row r="78">
      <c r="A78" s="20" t="n"/>
      <c r="B78" s="20" t="n"/>
      <c r="C78" s="20" t="n"/>
      <c r="D78" s="20" t="n"/>
      <c r="E78" s="20" t="n"/>
      <c r="F78" s="20" t="n"/>
    </row>
    <row r="79">
      <c r="A79" s="20" t="n"/>
      <c r="B79" s="20" t="n"/>
      <c r="C79" s="20" t="n"/>
      <c r="D79" s="20" t="n"/>
      <c r="E79" s="20" t="n"/>
      <c r="F79" s="20" t="n"/>
    </row>
    <row r="80">
      <c r="A80" s="20" t="n"/>
      <c r="B80" s="20" t="n"/>
      <c r="C80" s="20" t="n"/>
      <c r="D80" s="20" t="n"/>
      <c r="E80" s="20" t="n"/>
      <c r="F80" s="20" t="n"/>
    </row>
    <row r="81">
      <c r="A81" s="20" t="n"/>
      <c r="B81" s="20" t="n"/>
      <c r="C81" s="20" t="n"/>
      <c r="D81" s="20" t="n"/>
      <c r="E81" s="20" t="n"/>
      <c r="F81" s="20" t="n"/>
    </row>
    <row r="82">
      <c r="A82" s="20" t="n"/>
      <c r="B82" s="20" t="n"/>
      <c r="C82" s="20" t="n"/>
      <c r="D82" s="20" t="n"/>
      <c r="E82" s="20" t="n"/>
      <c r="F82" s="20" t="n"/>
    </row>
    <row r="83">
      <c r="A83" s="20" t="n"/>
      <c r="B83" s="20" t="n"/>
      <c r="C83" s="20" t="n"/>
      <c r="D83" s="20" t="n"/>
      <c r="E83" s="20" t="n"/>
      <c r="F83" s="20" t="n"/>
    </row>
    <row r="84">
      <c r="A84" s="20" t="n"/>
      <c r="B84" s="20" t="n"/>
      <c r="C84" s="20" t="n"/>
      <c r="D84" s="20" t="n"/>
      <c r="E84" s="20" t="n"/>
      <c r="F84" s="20" t="n"/>
    </row>
    <row r="85">
      <c r="A85" s="20" t="n"/>
      <c r="B85" s="20" t="n"/>
      <c r="C85" s="20" t="n"/>
      <c r="D85" s="20" t="n"/>
      <c r="E85" s="20" t="n"/>
      <c r="F85" s="20" t="n"/>
    </row>
    <row r="86">
      <c r="A86" s="20" t="n"/>
      <c r="B86" s="20" t="n"/>
      <c r="C86" s="20" t="n"/>
      <c r="D86" s="20" t="n"/>
      <c r="E86" s="20" t="n"/>
      <c r="F86" s="20" t="n"/>
    </row>
    <row r="87">
      <c r="A87" s="20" t="n"/>
      <c r="B87" s="20" t="n"/>
      <c r="C87" s="20" t="n"/>
      <c r="D87" s="20" t="n"/>
      <c r="E87" s="20" t="n"/>
      <c r="F87" s="20" t="n"/>
    </row>
    <row r="88">
      <c r="A88" s="20" t="n"/>
      <c r="B88" s="20" t="n"/>
      <c r="C88" s="20" t="n"/>
      <c r="D88" s="20" t="n"/>
      <c r="E88" s="20" t="n"/>
      <c r="F88" s="20" t="n"/>
    </row>
    <row r="89">
      <c r="A89" s="20" t="n"/>
      <c r="B89" s="20" t="n"/>
      <c r="C89" s="20" t="n"/>
      <c r="D89" s="20" t="n"/>
      <c r="E89" s="20" t="n"/>
      <c r="F89" s="20" t="n"/>
    </row>
    <row r="90">
      <c r="A90" s="20" t="n"/>
      <c r="B90" s="20" t="n"/>
      <c r="C90" s="20" t="n"/>
      <c r="D90" s="20" t="n"/>
      <c r="E90" s="20" t="n"/>
      <c r="F90" s="20" t="n"/>
    </row>
    <row r="91">
      <c r="A91" s="20" t="n"/>
      <c r="B91" s="20" t="n"/>
      <c r="C91" s="20" t="n"/>
      <c r="D91" s="20" t="n"/>
      <c r="E91" s="20" t="n"/>
      <c r="F91" s="20" t="n"/>
    </row>
    <row r="92">
      <c r="A92" s="20" t="n"/>
      <c r="B92" s="20" t="n"/>
      <c r="C92" s="20" t="n"/>
      <c r="D92" s="20" t="n"/>
      <c r="E92" s="20" t="n"/>
      <c r="F92" s="20" t="n"/>
    </row>
    <row r="93">
      <c r="A93" s="20" t="n"/>
      <c r="B93" s="20" t="n"/>
      <c r="C93" s="20" t="n"/>
      <c r="D93" s="20" t="n"/>
      <c r="E93" s="20" t="n"/>
      <c r="F93" s="20" t="n"/>
    </row>
    <row r="94">
      <c r="A94" s="20" t="n"/>
      <c r="B94" s="20" t="n"/>
      <c r="C94" s="20" t="n"/>
      <c r="D94" s="20" t="n"/>
      <c r="E94" s="20" t="n"/>
      <c r="F94" s="20" t="n"/>
    </row>
    <row r="95">
      <c r="A95" s="20" t="n"/>
      <c r="B95" s="20" t="n"/>
      <c r="C95" s="20" t="n"/>
      <c r="D95" s="20" t="n"/>
      <c r="E95" s="20" t="n"/>
      <c r="F95" s="20" t="n"/>
    </row>
    <row r="96">
      <c r="A96" s="20" t="n"/>
      <c r="B96" s="20" t="n"/>
      <c r="C96" s="20" t="n"/>
      <c r="D96" s="20" t="n"/>
      <c r="E96" s="20" t="n"/>
      <c r="F96" s="20" t="n"/>
    </row>
    <row r="97">
      <c r="A97" s="20" t="n"/>
      <c r="B97" s="20" t="n"/>
      <c r="C97" s="20" t="n"/>
      <c r="D97" s="20" t="n"/>
      <c r="E97" s="20" t="n"/>
      <c r="F97" s="20" t="n"/>
    </row>
    <row r="98">
      <c r="A98" s="20" t="n"/>
      <c r="B98" s="20" t="n"/>
      <c r="C98" s="20" t="n"/>
      <c r="D98" s="20" t="n"/>
      <c r="E98" s="20" t="n"/>
      <c r="F98" s="20" t="n"/>
    </row>
    <row r="99">
      <c r="A99" s="20" t="n"/>
      <c r="B99" s="20" t="n"/>
      <c r="C99" s="20" t="n"/>
      <c r="D99" s="20" t="n"/>
      <c r="E99" s="20" t="n"/>
      <c r="F99" s="20" t="n"/>
    </row>
    <row r="100">
      <c r="A100" s="20" t="n"/>
      <c r="B100" s="20" t="n"/>
      <c r="C100" s="20" t="n"/>
      <c r="D100" s="20" t="n"/>
      <c r="E100" s="20" t="n"/>
      <c r="F100" s="20" t="n"/>
    </row>
    <row r="101">
      <c r="A101" s="20" t="n"/>
      <c r="B101" s="20" t="n"/>
      <c r="C101" s="20" t="n"/>
      <c r="D101" s="20" t="n"/>
      <c r="E101" s="20" t="n"/>
      <c r="F101" s="20" t="n"/>
    </row>
    <row r="102">
      <c r="A102" s="20" t="n"/>
      <c r="B102" s="20" t="n"/>
      <c r="C102" s="20" t="n"/>
      <c r="D102" s="20" t="n"/>
      <c r="E102" s="20" t="n"/>
      <c r="F102" s="20" t="n"/>
    </row>
    <row r="103">
      <c r="A103" s="20" t="n"/>
      <c r="B103" s="20" t="n"/>
      <c r="C103" s="20" t="n"/>
      <c r="D103" s="20" t="n"/>
      <c r="E103" s="20" t="n"/>
      <c r="F103" s="20" t="n"/>
    </row>
    <row r="104">
      <c r="A104" s="20" t="n"/>
      <c r="B104" s="20" t="n"/>
      <c r="C104" s="20" t="n"/>
      <c r="D104" s="20" t="n"/>
      <c r="E104" s="20" t="n"/>
      <c r="F104" s="20" t="n"/>
    </row>
    <row r="105">
      <c r="A105" s="20" t="n"/>
      <c r="B105" s="20" t="n"/>
      <c r="C105" s="20" t="n"/>
      <c r="D105" s="20" t="n"/>
      <c r="E105" s="20" t="n"/>
      <c r="F105" s="20" t="n"/>
    </row>
    <row r="106">
      <c r="A106" s="20" t="n"/>
      <c r="B106" s="20" t="n"/>
      <c r="C106" s="20" t="n"/>
      <c r="D106" s="20" t="n"/>
      <c r="E106" s="20" t="n"/>
      <c r="F106" s="20" t="n"/>
    </row>
    <row r="107">
      <c r="A107" s="20" t="n"/>
      <c r="B107" s="20" t="n"/>
      <c r="C107" s="20" t="n"/>
      <c r="D107" s="20" t="n"/>
      <c r="E107" s="20" t="n"/>
      <c r="F107" s="20" t="n"/>
    </row>
    <row r="108">
      <c r="A108" s="20" t="n"/>
      <c r="B108" s="20" t="n"/>
      <c r="C108" s="20" t="n"/>
      <c r="D108" s="20" t="n"/>
      <c r="E108" s="20" t="n"/>
      <c r="F108" s="20" t="n"/>
    </row>
    <row r="109">
      <c r="A109" s="20" t="n"/>
      <c r="B109" s="20" t="n"/>
      <c r="C109" s="20" t="n"/>
      <c r="D109" s="20" t="n"/>
      <c r="E109" s="20" t="n"/>
      <c r="F109" s="20" t="n"/>
    </row>
    <row r="110">
      <c r="A110" s="20" t="n"/>
      <c r="B110" s="20" t="n"/>
      <c r="C110" s="20" t="n"/>
      <c r="D110" s="20" t="n"/>
      <c r="E110" s="20" t="n"/>
      <c r="F110" s="20" t="n"/>
    </row>
    <row r="111">
      <c r="A111" s="20" t="n"/>
      <c r="B111" s="20" t="n"/>
      <c r="C111" s="20" t="n"/>
      <c r="D111" s="20" t="n"/>
      <c r="E111" s="20" t="n"/>
      <c r="F111" s="20" t="n"/>
    </row>
    <row r="112">
      <c r="A112" s="20" t="n"/>
      <c r="B112" s="20" t="n"/>
      <c r="C112" s="20" t="n"/>
      <c r="D112" s="20" t="n"/>
      <c r="E112" s="20" t="n"/>
      <c r="F112" s="20" t="n"/>
    </row>
    <row r="113">
      <c r="A113" s="20" t="n"/>
      <c r="B113" s="20" t="n"/>
      <c r="C113" s="20" t="n"/>
      <c r="D113" s="20" t="n"/>
      <c r="E113" s="20" t="n"/>
      <c r="F113" s="20" t="n"/>
    </row>
    <row r="114">
      <c r="A114" s="20" t="n"/>
      <c r="B114" s="20" t="n"/>
      <c r="C114" s="20" t="n"/>
      <c r="D114" s="20" t="n"/>
      <c r="E114" s="20" t="n"/>
      <c r="F114" s="20" t="n"/>
    </row>
    <row r="115">
      <c r="A115" s="20" t="n"/>
      <c r="B115" s="20" t="n"/>
      <c r="C115" s="20" t="n"/>
      <c r="D115" s="20" t="n"/>
      <c r="E115" s="20" t="n"/>
      <c r="F115" s="20" t="n"/>
    </row>
    <row r="116">
      <c r="A116" s="20" t="n"/>
      <c r="B116" s="20" t="n"/>
      <c r="C116" s="20" t="n"/>
      <c r="D116" s="20" t="n"/>
      <c r="E116" s="20" t="n"/>
      <c r="F116" s="20" t="n"/>
    </row>
    <row r="117">
      <c r="A117" s="20" t="n"/>
      <c r="B117" s="20" t="n"/>
      <c r="C117" s="20" t="n"/>
      <c r="D117" s="20" t="n"/>
      <c r="E117" s="20" t="n"/>
      <c r="F117" s="20" t="n"/>
    </row>
    <row r="118">
      <c r="A118" s="20" t="n"/>
      <c r="B118" s="20" t="n"/>
      <c r="C118" s="20" t="n"/>
      <c r="D118" s="20" t="n"/>
      <c r="E118" s="20" t="n"/>
      <c r="F118" s="20" t="n"/>
    </row>
    <row r="119">
      <c r="A119" s="20" t="n"/>
      <c r="B119" s="20" t="n"/>
      <c r="C119" s="20" t="n"/>
      <c r="D119" s="20" t="n"/>
      <c r="E119" s="20" t="n"/>
      <c r="F119" s="20" t="n"/>
    </row>
    <row r="120">
      <c r="A120" s="20" t="n"/>
      <c r="B120" s="20" t="n"/>
      <c r="C120" s="20" t="n"/>
      <c r="D120" s="20" t="n"/>
      <c r="E120" s="20" t="n"/>
      <c r="F120" s="20" t="n"/>
    </row>
    <row r="121">
      <c r="A121" s="20" t="n"/>
      <c r="B121" s="20" t="n"/>
      <c r="C121" s="20" t="n"/>
      <c r="D121" s="20" t="n"/>
      <c r="E121" s="20" t="n"/>
      <c r="F121" s="20" t="n"/>
    </row>
    <row r="122">
      <c r="A122" s="20" t="n"/>
      <c r="B122" s="20" t="n"/>
      <c r="C122" s="20" t="n"/>
      <c r="D122" s="20" t="n"/>
      <c r="E122" s="20" t="n"/>
      <c r="F122" s="20" t="n"/>
    </row>
    <row r="123">
      <c r="A123" s="20" t="n"/>
      <c r="B123" s="20" t="n"/>
      <c r="C123" s="20" t="n"/>
      <c r="D123" s="20" t="n"/>
      <c r="E123" s="20" t="n"/>
      <c r="F123" s="20" t="n"/>
    </row>
    <row r="124">
      <c r="A124" s="20" t="n"/>
      <c r="B124" s="20" t="n"/>
      <c r="C124" s="20" t="n"/>
      <c r="D124" s="20" t="n"/>
      <c r="E124" s="20" t="n"/>
      <c r="F124" s="20" t="n"/>
    </row>
    <row r="125">
      <c r="A125" s="20" t="n"/>
      <c r="B125" s="20" t="n"/>
      <c r="C125" s="20" t="n"/>
      <c r="D125" s="20" t="n"/>
      <c r="E125" s="20" t="n"/>
      <c r="F125" s="20" t="n"/>
    </row>
    <row r="126">
      <c r="A126" s="20" t="n"/>
      <c r="B126" s="20" t="n"/>
      <c r="C126" s="20" t="n"/>
      <c r="D126" s="20" t="n"/>
      <c r="E126" s="20" t="n"/>
      <c r="F126" s="20" t="n"/>
    </row>
    <row r="127">
      <c r="A127" s="20" t="n"/>
      <c r="B127" s="20" t="n"/>
      <c r="C127" s="20" t="n"/>
      <c r="D127" s="20" t="n"/>
      <c r="E127" s="20" t="n"/>
      <c r="F127" s="20" t="n"/>
    </row>
    <row r="128">
      <c r="A128" s="20" t="n"/>
      <c r="B128" s="20" t="n"/>
      <c r="C128" s="20" t="n"/>
      <c r="D128" s="20" t="n"/>
      <c r="E128" s="20" t="n"/>
      <c r="F128" s="20" t="n"/>
    </row>
    <row r="129">
      <c r="A129" s="20" t="n"/>
      <c r="B129" s="20" t="n"/>
      <c r="C129" s="20" t="n"/>
      <c r="D129" s="20" t="n"/>
      <c r="E129" s="20" t="n"/>
      <c r="F129" s="20" t="n"/>
    </row>
    <row r="130">
      <c r="A130" s="20" t="n"/>
      <c r="B130" s="20" t="n"/>
      <c r="C130" s="20" t="n"/>
      <c r="D130" s="20" t="n"/>
      <c r="E130" s="20" t="n"/>
      <c r="F130" s="20" t="n"/>
    </row>
    <row r="131">
      <c r="A131" s="20" t="n"/>
      <c r="B131" s="20" t="n"/>
      <c r="C131" s="20" t="n"/>
      <c r="D131" s="20" t="n"/>
      <c r="E131" s="20" t="n"/>
      <c r="F131" s="20" t="n"/>
    </row>
    <row r="132">
      <c r="A132" s="20" t="n"/>
      <c r="B132" s="20" t="n"/>
      <c r="C132" s="20" t="n"/>
      <c r="D132" s="20" t="n"/>
      <c r="E132" s="20" t="n"/>
      <c r="F132" s="20" t="n"/>
    </row>
    <row r="133">
      <c r="A133" s="20" t="n"/>
      <c r="B133" s="20" t="n"/>
      <c r="C133" s="20" t="n"/>
      <c r="D133" s="20" t="n"/>
      <c r="E133" s="20" t="n"/>
      <c r="F133" s="20" t="n"/>
    </row>
    <row r="134">
      <c r="A134" s="20" t="n"/>
      <c r="B134" s="20" t="n"/>
      <c r="C134" s="20" t="n"/>
      <c r="D134" s="20" t="n"/>
      <c r="E134" s="20" t="n"/>
      <c r="F134" s="20" t="n"/>
    </row>
    <row r="135">
      <c r="A135" s="20" t="n"/>
      <c r="B135" s="20" t="n"/>
      <c r="C135" s="20" t="n"/>
      <c r="D135" s="20" t="n"/>
      <c r="E135" s="20" t="n"/>
      <c r="F135" s="20" t="n"/>
    </row>
    <row r="136">
      <c r="A136" s="20" t="n"/>
      <c r="B136" s="20" t="n"/>
      <c r="C136" s="20" t="n"/>
      <c r="D136" s="20" t="n"/>
      <c r="E136" s="20" t="n"/>
      <c r="F136" s="20" t="n"/>
    </row>
    <row r="137">
      <c r="A137" s="20" t="n"/>
      <c r="B137" s="20" t="n"/>
      <c r="C137" s="20" t="n"/>
      <c r="D137" s="20" t="n"/>
      <c r="E137" s="20" t="n"/>
      <c r="F137" s="20" t="n"/>
    </row>
    <row r="138">
      <c r="A138" s="20" t="n"/>
      <c r="B138" s="20" t="n"/>
      <c r="C138" s="20" t="n"/>
      <c r="D138" s="20" t="n"/>
      <c r="E138" s="20" t="n"/>
      <c r="F138" s="20" t="n"/>
    </row>
    <row r="139">
      <c r="A139" s="20" t="n"/>
      <c r="B139" s="20" t="n"/>
      <c r="C139" s="20" t="n"/>
      <c r="D139" s="20" t="n"/>
      <c r="E139" s="20" t="n"/>
      <c r="F139" s="20" t="n"/>
    </row>
    <row r="140">
      <c r="A140" s="20" t="n"/>
      <c r="B140" s="20" t="n"/>
      <c r="C140" s="20" t="n"/>
      <c r="D140" s="20" t="n"/>
      <c r="E140" s="20" t="n"/>
      <c r="F140" s="20" t="n"/>
    </row>
    <row r="141">
      <c r="A141" s="20" t="n"/>
      <c r="B141" s="20" t="n"/>
      <c r="C141" s="20" t="n"/>
      <c r="D141" s="20" t="n"/>
      <c r="E141" s="20" t="n"/>
      <c r="F141" s="20" t="n"/>
    </row>
    <row r="142">
      <c r="A142" s="20" t="n"/>
      <c r="B142" s="20" t="n"/>
      <c r="C142" s="20" t="n"/>
      <c r="D142" s="20" t="n"/>
      <c r="E142" s="20" t="n"/>
      <c r="F142" s="20" t="n"/>
    </row>
    <row r="143">
      <c r="A143" s="20" t="n"/>
      <c r="B143" s="20" t="n"/>
      <c r="C143" s="20" t="n"/>
      <c r="D143" s="20" t="n"/>
      <c r="E143" s="20" t="n"/>
      <c r="F143" s="20" t="n"/>
    </row>
    <row r="144">
      <c r="A144" s="20" t="n"/>
      <c r="B144" s="20" t="n"/>
      <c r="C144" s="20" t="n"/>
      <c r="D144" s="20" t="n"/>
      <c r="E144" s="20" t="n"/>
      <c r="F144" s="20" t="n"/>
    </row>
    <row r="145">
      <c r="A145" s="20" t="n"/>
      <c r="B145" s="20" t="n"/>
      <c r="C145" s="20" t="n"/>
      <c r="D145" s="20" t="n"/>
      <c r="E145" s="20" t="n"/>
      <c r="F145" s="20" t="n"/>
    </row>
    <row r="146">
      <c r="A146" s="20" t="n"/>
      <c r="B146" s="20" t="n"/>
      <c r="C146" s="20" t="n"/>
      <c r="D146" s="20" t="n"/>
      <c r="E146" s="20" t="n"/>
      <c r="F146" s="20" t="n"/>
    </row>
    <row r="147">
      <c r="A147" s="20" t="n"/>
      <c r="B147" s="20" t="n"/>
      <c r="C147" s="20" t="n"/>
      <c r="D147" s="20" t="n"/>
      <c r="E147" s="20" t="n"/>
      <c r="F147" s="20" t="n"/>
    </row>
    <row r="148">
      <c r="A148" s="20" t="n"/>
      <c r="B148" s="20" t="n"/>
      <c r="C148" s="20" t="n"/>
      <c r="D148" s="20" t="n"/>
      <c r="E148" s="20" t="n"/>
      <c r="F148" s="20" t="n"/>
    </row>
    <row r="149">
      <c r="A149" s="20" t="n"/>
      <c r="B149" s="20" t="n"/>
      <c r="C149" s="20" t="n"/>
      <c r="D149" s="20" t="n"/>
      <c r="E149" s="20" t="n"/>
      <c r="F149" s="20" t="n"/>
    </row>
    <row r="150">
      <c r="A150" s="20" t="n"/>
      <c r="B150" s="20" t="n"/>
      <c r="C150" s="20" t="n"/>
      <c r="D150" s="20" t="n"/>
      <c r="E150" s="20" t="n"/>
      <c r="F150" s="20" t="n"/>
    </row>
    <row r="151">
      <c r="A151" s="20" t="n"/>
      <c r="B151" s="20" t="n"/>
      <c r="C151" s="20" t="n"/>
      <c r="D151" s="20" t="n"/>
      <c r="E151" s="20" t="n"/>
      <c r="F151" s="20" t="n"/>
    </row>
    <row r="152">
      <c r="A152" s="20" t="n"/>
      <c r="B152" s="20" t="n"/>
      <c r="C152" s="20" t="n"/>
      <c r="D152" s="20" t="n"/>
      <c r="E152" s="20" t="n"/>
      <c r="F152" s="20" t="n"/>
    </row>
    <row r="153">
      <c r="A153" s="20" t="n"/>
      <c r="B153" s="20" t="n"/>
      <c r="C153" s="20" t="n"/>
      <c r="D153" s="20" t="n"/>
      <c r="E153" s="20" t="n"/>
      <c r="F153" s="20" t="n"/>
    </row>
    <row r="154">
      <c r="A154" s="20" t="n"/>
      <c r="B154" s="20" t="n"/>
      <c r="C154" s="20" t="n"/>
      <c r="D154" s="20" t="n"/>
      <c r="E154" s="20" t="n"/>
      <c r="F154" s="20" t="n"/>
    </row>
    <row r="155">
      <c r="A155" s="20" t="n"/>
      <c r="B155" s="20" t="n"/>
      <c r="C155" s="20" t="n"/>
      <c r="D155" s="20" t="n"/>
      <c r="E155" s="20" t="n"/>
      <c r="F155" s="20" t="n"/>
    </row>
    <row r="156">
      <c r="A156" s="20" t="n"/>
      <c r="B156" s="20" t="n"/>
      <c r="C156" s="20" t="n"/>
      <c r="D156" s="20" t="n"/>
      <c r="E156" s="20" t="n"/>
      <c r="F156" s="20" t="n"/>
    </row>
    <row r="157">
      <c r="A157" s="20" t="n"/>
      <c r="B157" s="20" t="n"/>
      <c r="C157" s="20" t="n"/>
      <c r="D157" s="20" t="n"/>
      <c r="E157" s="20" t="n"/>
      <c r="F157" s="20" t="n"/>
    </row>
    <row r="158">
      <c r="A158" s="20" t="n"/>
      <c r="B158" s="20" t="n"/>
      <c r="C158" s="20" t="n"/>
      <c r="D158" s="20" t="n"/>
      <c r="E158" s="20" t="n"/>
      <c r="F158" s="20" t="n"/>
    </row>
    <row r="159">
      <c r="A159" s="20" t="n"/>
      <c r="B159" s="20" t="n"/>
      <c r="C159" s="20" t="n"/>
      <c r="D159" s="20" t="n"/>
      <c r="E159" s="20" t="n"/>
      <c r="F159" s="20" t="n"/>
    </row>
    <row r="160">
      <c r="A160" s="20" t="n"/>
      <c r="B160" s="20" t="n"/>
      <c r="C160" s="20" t="n"/>
      <c r="D160" s="20" t="n"/>
      <c r="E160" s="20" t="n"/>
      <c r="F160" s="20" t="n"/>
    </row>
    <row r="161">
      <c r="A161" s="20" t="n"/>
      <c r="B161" s="20" t="n"/>
      <c r="C161" s="20" t="n"/>
      <c r="D161" s="20" t="n"/>
      <c r="E161" s="20" t="n"/>
      <c r="F161" s="20" t="n"/>
    </row>
    <row r="162">
      <c r="A162" s="20" t="n"/>
      <c r="B162" s="20" t="n"/>
      <c r="C162" s="20" t="n"/>
      <c r="D162" s="20" t="n"/>
      <c r="E162" s="20" t="n"/>
      <c r="F162" s="20" t="n"/>
    </row>
    <row r="163">
      <c r="A163" s="20" t="n"/>
      <c r="B163" s="20" t="n"/>
      <c r="C163" s="20" t="n"/>
      <c r="D163" s="20" t="n"/>
      <c r="E163" s="20" t="n"/>
      <c r="F163" s="20" t="n"/>
    </row>
    <row r="164">
      <c r="A164" s="20" t="n"/>
      <c r="B164" s="20" t="n"/>
      <c r="C164" s="20" t="n"/>
      <c r="D164" s="20" t="n"/>
      <c r="E164" s="20" t="n"/>
      <c r="F164" s="20" t="n"/>
    </row>
    <row r="165">
      <c r="A165" s="20" t="n"/>
      <c r="B165" s="20" t="n"/>
      <c r="C165" s="20" t="n"/>
      <c r="D165" s="20" t="n"/>
      <c r="E165" s="20" t="n"/>
      <c r="F165" s="20" t="n"/>
    </row>
    <row r="166">
      <c r="A166" s="20" t="n"/>
      <c r="B166" s="20" t="n"/>
      <c r="C166" s="20" t="n"/>
      <c r="D166" s="20" t="n"/>
      <c r="E166" s="20" t="n"/>
      <c r="F166" s="20" t="n"/>
    </row>
    <row r="167">
      <c r="A167" s="20" t="n"/>
      <c r="B167" s="20" t="n"/>
      <c r="C167" s="20" t="n"/>
      <c r="D167" s="20" t="n"/>
      <c r="E167" s="20" t="n"/>
      <c r="F167" s="20" t="n"/>
    </row>
    <row r="168">
      <c r="A168" s="20" t="n"/>
      <c r="B168" s="20" t="n"/>
      <c r="C168" s="20" t="n"/>
      <c r="D168" s="20" t="n"/>
      <c r="E168" s="20" t="n"/>
      <c r="F168" s="20" t="n"/>
    </row>
    <row r="169">
      <c r="A169" s="20" t="n"/>
      <c r="B169" s="20" t="n"/>
      <c r="C169" s="20" t="n"/>
      <c r="D169" s="20" t="n"/>
      <c r="E169" s="20" t="n"/>
      <c r="F169" s="20" t="n"/>
    </row>
    <row r="170">
      <c r="A170" s="20" t="n"/>
      <c r="B170" s="20" t="n"/>
      <c r="C170" s="20" t="n"/>
      <c r="D170" s="20" t="n"/>
      <c r="E170" s="20" t="n"/>
      <c r="F170" s="20" t="n"/>
    </row>
    <row r="171">
      <c r="A171" s="20" t="n"/>
      <c r="B171" s="20" t="n"/>
      <c r="C171" s="20" t="n"/>
      <c r="D171" s="20" t="n"/>
      <c r="E171" s="20" t="n"/>
      <c r="F171" s="20" t="n"/>
    </row>
    <row r="172">
      <c r="A172" s="20" t="n"/>
      <c r="B172" s="20" t="n"/>
      <c r="C172" s="20" t="n"/>
      <c r="D172" s="20" t="n"/>
      <c r="E172" s="20" t="n"/>
      <c r="F172" s="20" t="n"/>
    </row>
    <row r="173">
      <c r="A173" s="20" t="n"/>
      <c r="B173" s="20" t="n"/>
      <c r="C173" s="20" t="n"/>
      <c r="D173" s="20" t="n"/>
      <c r="E173" s="20" t="n"/>
      <c r="F173" s="20" t="n"/>
    </row>
    <row r="174">
      <c r="A174" s="20" t="n"/>
      <c r="B174" s="20" t="n"/>
      <c r="C174" s="20" t="n"/>
      <c r="D174" s="20" t="n"/>
      <c r="E174" s="20" t="n"/>
      <c r="F174" s="20" t="n"/>
    </row>
    <row r="175">
      <c r="A175" s="20" t="n"/>
      <c r="B175" s="20" t="n"/>
      <c r="C175" s="20" t="n"/>
      <c r="D175" s="20" t="n"/>
      <c r="E175" s="20" t="n"/>
      <c r="F175" s="20" t="n"/>
    </row>
    <row r="176">
      <c r="A176" s="20" t="n"/>
      <c r="B176" s="20" t="n"/>
      <c r="C176" s="20" t="n"/>
      <c r="D176" s="20" t="n"/>
      <c r="E176" s="20" t="n"/>
      <c r="F176" s="20" t="n"/>
    </row>
    <row r="177">
      <c r="A177" s="20" t="n"/>
      <c r="B177" s="20" t="n"/>
      <c r="C177" s="20" t="n"/>
      <c r="D177" s="20" t="n"/>
      <c r="E177" s="20" t="n"/>
      <c r="F177" s="20" t="n"/>
    </row>
    <row r="178">
      <c r="A178" s="20" t="n"/>
      <c r="B178" s="20" t="n"/>
      <c r="C178" s="20" t="n"/>
      <c r="D178" s="20" t="n"/>
      <c r="E178" s="20" t="n"/>
      <c r="F178" s="20" t="n"/>
    </row>
    <row r="179">
      <c r="A179" s="20" t="n"/>
      <c r="B179" s="20" t="n"/>
      <c r="C179" s="20" t="n"/>
      <c r="D179" s="20" t="n"/>
      <c r="E179" s="20" t="n"/>
      <c r="F179" s="20" t="n"/>
    </row>
    <row r="180">
      <c r="A180" s="20" t="n"/>
      <c r="B180" s="20" t="n"/>
      <c r="C180" s="20" t="n"/>
      <c r="D180" s="20" t="n"/>
      <c r="E180" s="20" t="n"/>
      <c r="F180" s="20" t="n"/>
    </row>
    <row r="181">
      <c r="A181" s="20" t="n"/>
      <c r="B181" s="20" t="n"/>
      <c r="C181" s="20" t="n"/>
      <c r="D181" s="20" t="n"/>
      <c r="E181" s="20" t="n"/>
      <c r="F181" s="20" t="n"/>
    </row>
    <row r="182">
      <c r="A182" s="20" t="n"/>
      <c r="B182" s="20" t="n"/>
      <c r="C182" s="20" t="n"/>
      <c r="D182" s="20" t="n"/>
      <c r="E182" s="20" t="n"/>
      <c r="F182" s="20" t="n"/>
    </row>
    <row r="183">
      <c r="A183" s="20" t="n"/>
      <c r="B183" s="20" t="n"/>
      <c r="C183" s="20" t="n"/>
      <c r="D183" s="20" t="n"/>
      <c r="E183" s="20" t="n"/>
      <c r="F183" s="20" t="n"/>
    </row>
    <row r="184">
      <c r="A184" s="20" t="n"/>
      <c r="B184" s="20" t="n"/>
      <c r="C184" s="20" t="n"/>
      <c r="D184" s="20" t="n"/>
      <c r="E184" s="20" t="n"/>
      <c r="F184" s="20" t="n"/>
    </row>
    <row r="185">
      <c r="A185" s="20" t="n"/>
      <c r="B185" s="20" t="n"/>
      <c r="C185" s="20" t="n"/>
      <c r="D185" s="20" t="n"/>
      <c r="E185" s="20" t="n"/>
      <c r="F185" s="20" t="n"/>
    </row>
    <row r="186">
      <c r="A186" s="20" t="n"/>
      <c r="B186" s="20" t="n"/>
      <c r="C186" s="20" t="n"/>
      <c r="D186" s="20" t="n"/>
      <c r="E186" s="20" t="n"/>
      <c r="F186" s="20" t="n"/>
    </row>
    <row r="187">
      <c r="A187" s="20" t="n"/>
      <c r="B187" s="20" t="n"/>
      <c r="C187" s="20" t="n"/>
      <c r="D187" s="20" t="n"/>
      <c r="E187" s="20" t="n"/>
      <c r="F187" s="20" t="n"/>
    </row>
    <row r="188">
      <c r="A188" s="20" t="n"/>
      <c r="B188" s="20" t="n"/>
      <c r="C188" s="20" t="n"/>
      <c r="D188" s="20" t="n"/>
      <c r="E188" s="20" t="n"/>
      <c r="F188" s="20" t="n"/>
    </row>
    <row r="189">
      <c r="A189" s="20" t="n"/>
      <c r="B189" s="20" t="n"/>
      <c r="C189" s="20" t="n"/>
      <c r="D189" s="20" t="n"/>
      <c r="E189" s="20" t="n"/>
      <c r="F189" s="20" t="n"/>
    </row>
    <row r="190">
      <c r="A190" s="20" t="n"/>
      <c r="B190" s="20" t="n"/>
      <c r="C190" s="20" t="n"/>
      <c r="D190" s="20" t="n"/>
      <c r="E190" s="20" t="n"/>
      <c r="F190" s="20" t="n"/>
    </row>
    <row r="191">
      <c r="A191" s="20" t="n"/>
      <c r="B191" s="20" t="n"/>
      <c r="C191" s="20" t="n"/>
      <c r="D191" s="20" t="n"/>
      <c r="E191" s="20" t="n"/>
      <c r="F191" s="20" t="n"/>
    </row>
    <row r="192">
      <c r="A192" s="20" t="n"/>
      <c r="B192" s="20" t="n"/>
      <c r="C192" s="20" t="n"/>
      <c r="D192" s="20" t="n"/>
      <c r="E192" s="20" t="n"/>
      <c r="F192" s="20" t="n"/>
    </row>
    <row r="193">
      <c r="A193" s="20" t="n"/>
      <c r="B193" s="20" t="n"/>
      <c r="C193" s="20" t="n"/>
      <c r="D193" s="20" t="n"/>
      <c r="E193" s="20" t="n"/>
      <c r="F193" s="20" t="n"/>
    </row>
    <row r="194">
      <c r="A194" s="20" t="n"/>
      <c r="B194" s="20" t="n"/>
      <c r="C194" s="20" t="n"/>
      <c r="D194" s="20" t="n"/>
      <c r="E194" s="20" t="n"/>
      <c r="F194" s="20" t="n"/>
    </row>
    <row r="195">
      <c r="A195" s="20" t="n"/>
      <c r="B195" s="20" t="n"/>
      <c r="C195" s="20" t="n"/>
      <c r="D195" s="20" t="n"/>
      <c r="E195" s="20" t="n"/>
      <c r="F195" s="20" t="n"/>
    </row>
    <row r="196">
      <c r="A196" s="20" t="n"/>
      <c r="B196" s="20" t="n"/>
      <c r="C196" s="20" t="n"/>
      <c r="D196" s="20" t="n"/>
      <c r="E196" s="20" t="n"/>
      <c r="F196" s="20" t="n"/>
    </row>
    <row r="197">
      <c r="A197" s="20" t="n"/>
      <c r="B197" s="20" t="n"/>
      <c r="C197" s="20" t="n"/>
      <c r="D197" s="20" t="n"/>
      <c r="E197" s="20" t="n"/>
      <c r="F197" s="20" t="n"/>
    </row>
    <row r="198">
      <c r="A198" s="20" t="n"/>
      <c r="B198" s="20" t="n"/>
      <c r="C198" s="20" t="n"/>
      <c r="D198" s="20" t="n"/>
      <c r="E198" s="20" t="n"/>
      <c r="F198" s="20" t="n"/>
    </row>
    <row r="199">
      <c r="A199" s="20" t="n"/>
      <c r="B199" s="20" t="n"/>
      <c r="C199" s="20" t="n"/>
      <c r="D199" s="20" t="n"/>
      <c r="E199" s="20" t="n"/>
      <c r="F199" s="20" t="n"/>
    </row>
    <row r="200">
      <c r="A200" s="20" t="n"/>
      <c r="B200" s="20" t="n"/>
      <c r="C200" s="20" t="n"/>
      <c r="D200" s="20" t="n"/>
      <c r="E200" s="20" t="n"/>
      <c r="F200" s="20" t="n"/>
    </row>
  </sheetData>
  <conditionalFormatting sqref="D2:D200">
    <cfRule type="cellIs" priority="3" operator="equal" dxfId="0">
      <formula>"0"</formula>
    </cfRule>
  </conditionalFormatting>
  <conditionalFormatting sqref="E2:E200">
    <cfRule type="expression" priority="4" dxfId="1">
      <formula>AND($E2&lt;Parametri!$B$2,$A2&lt;&gt;"")</formula>
    </cfRule>
  </conditionalFormatting>
  <dataValidations count="4">
    <dataValidation sqref="C2:C200" showDropDown="0" showInputMessage="0" showErrorMessage="0" allowBlank="1" type="list">
      <formula1>"L1,L2,L3,L4"</formula1>
    </dataValidation>
    <dataValidation sqref="D2:D200" showDropDown="0" showInputMessage="0" showErrorMessage="0" allowBlank="1" type="list">
      <formula1>"1,0"</formula1>
    </dataValidation>
    <dataValidation sqref="E2:E200" showDropDown="0" showInputMessage="0" showErrorMessage="0" allowBlank="1" type="decimal" operator="between">
      <formula1>0</formula1>
      <formula2>70</formula2>
    </dataValidation>
    <dataValidation sqref="F2:F20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oglio5">
    <tabColor rgb="00A5A5A5"/>
    <outlinePr summaryBelow="1" summaryRight="1"/>
    <pageSetUpPr fitToPage="1"/>
  </sheetPr>
  <dimension ref="A1:H30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16" customWidth="1" min="2" max="2"/>
    <col width="24" customWidth="1" min="3" max="3"/>
    <col width="14" customWidth="1" min="4" max="4"/>
    <col width="14" customWidth="1" min="5" max="5"/>
    <col width="14" customWidth="1" min="6" max="6"/>
    <col width="14" customWidth="1" min="7" max="7"/>
    <col width="30" customWidth="1" min="8" max="8"/>
  </cols>
  <sheetData>
    <row r="1" ht="24" customHeight="1">
      <c r="A1" s="18" t="inlineStr">
        <is>
          <t>Lotto</t>
        </is>
      </c>
      <c r="B1" s="18" t="inlineStr">
        <is>
          <t>BidderId</t>
        </is>
      </c>
      <c r="C1" s="18" t="inlineStr">
        <is>
          <t>BidderNome</t>
        </is>
      </c>
      <c r="D1" s="18" t="inlineStr">
        <is>
          <t>Tecnico</t>
        </is>
      </c>
      <c r="E1" s="18" t="inlineStr">
        <is>
          <t>Economico</t>
        </is>
      </c>
      <c r="F1" s="18" t="inlineStr">
        <is>
          <t>Totale</t>
        </is>
      </c>
      <c r="G1" s="18" t="inlineStr">
        <is>
          <t>Ammissibile</t>
        </is>
      </c>
      <c r="H1" s="18" t="inlineStr">
        <is>
          <t>Esito</t>
        </is>
      </c>
    </row>
    <row r="2">
      <c r="A2" s="21" t="inlineStr">
        <is>
          <t>L1</t>
        </is>
      </c>
      <c r="B2" s="21" t="n"/>
      <c r="C2" s="21" t="n"/>
      <c r="D2" s="21" t="n"/>
      <c r="E2" s="21" t="n"/>
      <c r="F2" s="21" t="n"/>
      <c r="G2" s="21" t="n"/>
      <c r="H2" s="21" t="n"/>
    </row>
    <row r="3">
      <c r="A3" s="21" t="inlineStr">
        <is>
          <t>L2</t>
        </is>
      </c>
      <c r="B3" s="21" t="n"/>
      <c r="C3" s="21" t="n"/>
      <c r="D3" s="21" t="n"/>
      <c r="E3" s="21" t="n"/>
      <c r="F3" s="21" t="n"/>
      <c r="G3" s="21" t="n"/>
      <c r="H3" s="21" t="n"/>
    </row>
    <row r="4">
      <c r="A4" s="21" t="inlineStr">
        <is>
          <t>L3</t>
        </is>
      </c>
      <c r="B4" s="21" t="n"/>
      <c r="C4" s="21" t="n"/>
      <c r="D4" s="21" t="n"/>
      <c r="E4" s="21" t="n"/>
      <c r="F4" s="21" t="n"/>
      <c r="G4" s="21" t="n"/>
      <c r="H4" s="21" t="n"/>
    </row>
    <row r="5">
      <c r="A5" s="21" t="inlineStr">
        <is>
          <t>L4</t>
        </is>
      </c>
      <c r="B5" s="21" t="n"/>
      <c r="C5" s="21" t="n"/>
      <c r="D5" s="21" t="n"/>
      <c r="E5" s="21" t="n"/>
      <c r="F5" s="21" t="n"/>
      <c r="G5" s="21" t="n"/>
      <c r="H5" s="21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</row>
    <row r="8">
      <c r="A8" s="21" t="inlineStr">
        <is>
          <t>Combinatorie principali</t>
        </is>
      </c>
      <c r="B8" s="21" t="n"/>
      <c r="C8" s="21" t="n"/>
      <c r="D8" s="21" t="n"/>
      <c r="E8" s="21" t="n"/>
      <c r="F8" s="21" t="n"/>
      <c r="G8" s="21" t="n"/>
      <c r="H8" s="21" t="n"/>
    </row>
    <row r="9">
      <c r="A9" s="21" t="inlineStr">
        <is>
          <t>Combinazione</t>
        </is>
      </c>
      <c r="B9" s="21" t="inlineStr">
        <is>
          <t>Ammissibile</t>
        </is>
      </c>
      <c r="C9" s="21" t="inlineStr">
        <is>
          <t>Note</t>
        </is>
      </c>
      <c r="D9" s="21" t="n"/>
      <c r="E9" s="21" t="n"/>
      <c r="F9" s="21" t="n"/>
      <c r="G9" s="21" t="n"/>
      <c r="H9" s="21" t="n"/>
    </row>
    <row r="10">
      <c r="A10" s="21" t="inlineStr">
        <is>
          <t>L1+L2</t>
        </is>
      </c>
      <c r="B10" s="21" t="n"/>
      <c r="C10" s="21" t="n"/>
      <c r="D10" s="21" t="n"/>
      <c r="E10" s="21" t="n"/>
      <c r="F10" s="21" t="n"/>
      <c r="G10" s="21" t="n"/>
      <c r="H10" s="21" t="n"/>
    </row>
    <row r="11">
      <c r="A11" s="21" t="inlineStr">
        <is>
          <t>L2+L3</t>
        </is>
      </c>
      <c r="B11" s="21" t="n"/>
      <c r="C11" s="21" t="n"/>
      <c r="D11" s="21" t="n"/>
      <c r="E11" s="21" t="n"/>
      <c r="F11" s="21" t="n"/>
      <c r="G11" s="21" t="n"/>
      <c r="H11" s="21" t="n"/>
    </row>
    <row r="12">
      <c r="A12" s="21" t="inlineStr">
        <is>
          <t>L3+L4</t>
        </is>
      </c>
      <c r="B12" s="21" t="n"/>
      <c r="C12" s="21" t="n"/>
      <c r="D12" s="21" t="n"/>
      <c r="E12" s="21" t="n"/>
      <c r="F12" s="21" t="n"/>
      <c r="G12" s="21" t="n"/>
      <c r="H12" s="21" t="n"/>
    </row>
    <row r="13">
      <c r="A13" s="21" t="inlineStr">
        <is>
          <t>L1+L4</t>
        </is>
      </c>
      <c r="B13" s="21" t="n"/>
      <c r="C13" s="21" t="n"/>
      <c r="D13" s="21" t="n"/>
      <c r="E13" s="21" t="n"/>
      <c r="F13" s="21" t="n"/>
      <c r="G13" s="21" t="n"/>
      <c r="H13" s="21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</row>
  </sheetData>
  <conditionalFormatting sqref="D2:D200">
    <cfRule type="cellIs" priority="3" operator="equal" dxfId="0">
      <formula>"NO"</formula>
    </cfRule>
    <cfRule type="cellIs" priority="4" operator="equal" dxfId="2">
      <formula>"SI"</formula>
    </cfRule>
  </conditionalFormatting>
  <pageMargins left="0.25" right="0.25" top="0.5" bottom="0.5" header="0.5" footer="0.5"/>
  <pageSetup fitToHeight="0" fitToWidth="1"/>
</worksheet>
</file>

<file path=xl/worksheets/sheet7.xml><?xml version="1.0" encoding="utf-8"?>
<worksheet xmlns="http://schemas.openxmlformats.org/spreadsheetml/2006/main">
  <sheetPr codeName="Foglio6">
    <tabColor rgb="007030A0"/>
    <outlinePr summaryBelow="1" summaryRight="1"/>
    <pageSetUpPr fitToPage="1"/>
  </sheetPr>
  <dimension ref="A1:J8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22" customWidth="1" min="2" max="2"/>
    <col width="12" customWidth="1" min="3" max="3"/>
    <col width="16" customWidth="1" min="4" max="4"/>
    <col width="12" customWidth="1" min="5" max="5"/>
    <col width="34" customWidth="1" min="6" max="6"/>
    <col width="14" customWidth="1" min="7" max="7"/>
    <col width="34" customWidth="1" min="8" max="8"/>
    <col width="18" customWidth="1" min="9" max="9"/>
    <col width="14" customWidth="1" min="10" max="10"/>
  </cols>
  <sheetData>
    <row r="1" ht="24" customHeight="1">
      <c r="A1" s="18" t="inlineStr">
        <is>
          <t>Caso</t>
        </is>
      </c>
      <c r="B1" s="18" t="inlineStr">
        <is>
          <t>Scenario</t>
        </is>
      </c>
      <c r="C1" s="18" t="inlineStr">
        <is>
          <t>LotId</t>
        </is>
      </c>
      <c r="D1" s="18" t="inlineStr">
        <is>
          <t>ExpectedTotal</t>
        </is>
      </c>
      <c r="E1" s="18" t="inlineStr">
        <is>
          <t>Tolerance</t>
        </is>
      </c>
      <c r="F1" s="18" t="inlineStr">
        <is>
          <t>WebSource</t>
        </is>
      </c>
      <c r="G1" s="18" t="inlineStr">
        <is>
          <t>VerifiedAt</t>
        </is>
      </c>
      <c r="H1" s="18" t="inlineStr">
        <is>
          <t>Note</t>
        </is>
      </c>
      <c r="I1" s="18" t="inlineStr">
        <is>
          <t>Input expected</t>
        </is>
      </c>
      <c r="J1" s="18" t="inlineStr">
        <is>
          <t>Valore</t>
        </is>
      </c>
    </row>
    <row r="2">
      <c r="A2" s="10" t="inlineStr">
        <is>
          <t>G01</t>
        </is>
      </c>
      <c r="B2" s="10" t="inlineStr">
        <is>
          <t>MERCATO_REALISTICO</t>
        </is>
      </c>
      <c r="C2" s="10" t="inlineStr">
        <is>
          <t>L1</t>
        </is>
      </c>
      <c r="D2" s="10" t="inlineStr">
        <is>
          <t>0</t>
        </is>
      </c>
      <c r="E2" s="10" t="inlineStr">
        <is>
          <t>0.05</t>
        </is>
      </c>
      <c r="F2" s="10" t="inlineStr">
        <is>
          <t>https://gare-lotti-milanesi.pages.dev</t>
        </is>
      </c>
      <c r="G2" s="10" t="inlineStr">
        <is>
          <t>2026-05-25</t>
        </is>
      </c>
      <c r="H2" s="10" t="inlineStr">
        <is>
          <t>Da compilare con output web</t>
        </is>
      </c>
      <c r="I2" s="10" t="inlineStr">
        <is>
          <t>Web L1</t>
        </is>
      </c>
      <c r="J2" s="10" t="n">
        <v>0</v>
      </c>
    </row>
    <row r="3">
      <c r="A3" s="10" t="inlineStr">
        <is>
          <t>G02</t>
        </is>
      </c>
      <c r="B3" s="10" t="inlineStr">
        <is>
          <t>MERCATO_REALISTICO</t>
        </is>
      </c>
      <c r="C3" s="10" t="inlineStr">
        <is>
          <t>L2</t>
        </is>
      </c>
      <c r="D3" s="10" t="inlineStr">
        <is>
          <t>0</t>
        </is>
      </c>
      <c r="E3" s="10" t="inlineStr">
        <is>
          <t>0.05</t>
        </is>
      </c>
      <c r="F3" s="10" t="inlineStr">
        <is>
          <t>https://gare-lotti-milanesi.pages.dev</t>
        </is>
      </c>
      <c r="G3" s="10" t="inlineStr">
        <is>
          <t>2026-05-25</t>
        </is>
      </c>
      <c r="H3" s="10" t="inlineStr">
        <is>
          <t>Da compilare con output web</t>
        </is>
      </c>
      <c r="I3" s="10" t="inlineStr">
        <is>
          <t>Web L2</t>
        </is>
      </c>
      <c r="J3" s="10" t="n">
        <v>0</v>
      </c>
    </row>
    <row r="4">
      <c r="A4" s="10" t="inlineStr">
        <is>
          <t>G03</t>
        </is>
      </c>
      <c r="B4" s="10" t="inlineStr">
        <is>
          <t>TECNOLOGIA_FLOTTA</t>
        </is>
      </c>
      <c r="C4" s="10" t="inlineStr">
        <is>
          <t>L3</t>
        </is>
      </c>
      <c r="D4" s="10" t="inlineStr">
        <is>
          <t>0</t>
        </is>
      </c>
      <c r="E4" s="10" t="inlineStr">
        <is>
          <t>0.05</t>
        </is>
      </c>
      <c r="F4" s="10" t="inlineStr">
        <is>
          <t>https://gare-lotti-milanesi.pages.dev</t>
        </is>
      </c>
      <c r="G4" s="10" t="inlineStr">
        <is>
          <t>2026-05-25</t>
        </is>
      </c>
      <c r="H4" s="10" t="inlineStr">
        <is>
          <t>Da compilare con output web</t>
        </is>
      </c>
      <c r="I4" s="10" t="inlineStr">
        <is>
          <t>Web L3</t>
        </is>
      </c>
      <c r="J4" s="10" t="n">
        <v>0</v>
      </c>
    </row>
    <row r="5">
      <c r="A5" s="10" t="inlineStr">
        <is>
          <t>G04</t>
        </is>
      </c>
      <c r="B5" s="10" t="inlineStr">
        <is>
          <t>RIBASSO_AGGRESSIVO</t>
        </is>
      </c>
      <c r="C5" s="10" t="inlineStr">
        <is>
          <t>L4</t>
        </is>
      </c>
      <c r="D5" s="10" t="inlineStr">
        <is>
          <t>0</t>
        </is>
      </c>
      <c r="E5" s="10" t="inlineStr">
        <is>
          <t>0.05</t>
        </is>
      </c>
      <c r="F5" s="10" t="inlineStr">
        <is>
          <t>https://gare-lotti-milanesi.pages.dev</t>
        </is>
      </c>
      <c r="G5" s="10" t="inlineStr">
        <is>
          <t>2026-05-25</t>
        </is>
      </c>
      <c r="H5" s="10" t="inlineStr">
        <is>
          <t>Da compilare con output web</t>
        </is>
      </c>
      <c r="I5" s="10" t="inlineStr">
        <is>
          <t>Web L4</t>
        </is>
      </c>
      <c r="J5" s="10" t="n">
        <v>0</v>
      </c>
    </row>
    <row r="6">
      <c r="A6" s="10" t="inlineStr">
        <is>
          <t>G05</t>
        </is>
      </c>
      <c r="B6" s="10" t="inlineStr">
        <is>
          <t>PRESIDIO_LOCALE</t>
        </is>
      </c>
      <c r="C6" s="10" t="inlineStr">
        <is>
          <t>L4</t>
        </is>
      </c>
      <c r="D6" s="10" t="inlineStr">
        <is>
          <t>0</t>
        </is>
      </c>
      <c r="E6" s="10" t="inlineStr">
        <is>
          <t>0.05</t>
        </is>
      </c>
      <c r="F6" s="10" t="inlineStr">
        <is>
          <t>https://gare-lotti-milanesi.pages.dev</t>
        </is>
      </c>
      <c r="G6" s="10" t="inlineStr">
        <is>
          <t>2026-05-25</t>
        </is>
      </c>
      <c r="H6" s="10" t="inlineStr">
        <is>
          <t>Da compilare con output web</t>
        </is>
      </c>
      <c r="I6" s="10" t="n"/>
      <c r="J6" s="10" t="n"/>
    </row>
    <row r="7">
      <c r="A7" s="10" t="inlineStr">
        <is>
          <t>G06</t>
        </is>
      </c>
      <c r="B7" s="10" t="inlineStr">
        <is>
          <t>MERCATO_REALISTICO</t>
        </is>
      </c>
      <c r="C7" s="10" t="inlineStr">
        <is>
          <t>L3</t>
        </is>
      </c>
      <c r="D7" s="10" t="inlineStr">
        <is>
          <t>0</t>
        </is>
      </c>
      <c r="E7" s="10" t="inlineStr">
        <is>
          <t>0.05</t>
        </is>
      </c>
      <c r="F7" s="10" t="inlineStr">
        <is>
          <t>https://gare-lotti-milanesi.pages.dev</t>
        </is>
      </c>
      <c r="G7" s="10" t="inlineStr">
        <is>
          <t>2026-05-25</t>
        </is>
      </c>
      <c r="H7" s="10" t="inlineStr">
        <is>
          <t>Da compilare con output web</t>
        </is>
      </c>
      <c r="I7" s="10" t="n"/>
      <c r="J7" s="10" t="n"/>
    </row>
    <row r="8">
      <c r="A8" s="10" t="n"/>
      <c r="B8" s="10" t="n"/>
      <c r="C8" s="10" t="n"/>
      <c r="D8" s="10" t="n"/>
      <c r="E8" s="10" t="n"/>
      <c r="F8" s="10" t="n"/>
      <c r="G8" s="10" t="n"/>
      <c r="H8" s="10" t="n"/>
      <c r="I8" s="10" t="n"/>
      <c r="J8" s="10" t="n"/>
    </row>
  </sheetData>
  <dataValidations count="1">
    <dataValidation sqref="J2:J5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Foglio7">
    <tabColor rgb="004472C4"/>
    <outlinePr summaryBelow="1" summaryRight="1"/>
    <pageSetUpPr fitToPage="1"/>
  </sheetPr>
  <dimension ref="A1:J50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4" customWidth="1" min="1" max="1"/>
    <col width="16" customWidth="1" min="2" max="4"/>
    <col width="12" customWidth="1" min="3" max="3"/>
    <col width="12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20" customWidth="1" min="10" max="10"/>
  </cols>
  <sheetData>
    <row r="1" ht="24" customHeight="1">
      <c r="A1" s="18" t="inlineStr">
        <is>
          <t>Iterazione</t>
        </is>
      </c>
      <c r="B1" s="18" t="inlineStr">
        <is>
          <t>Lotto</t>
        </is>
      </c>
      <c r="C1" s="18" t="inlineStr">
        <is>
          <t>Leva</t>
        </is>
      </c>
      <c r="D1" s="18" t="inlineStr">
        <is>
          <t>Delta</t>
        </is>
      </c>
      <c r="E1" s="18" t="inlineStr">
        <is>
          <t>TotalePrima</t>
        </is>
      </c>
      <c r="F1" s="18" t="inlineStr">
        <is>
          <t>TotaleDopo</t>
        </is>
      </c>
      <c r="G1" s="18" t="inlineStr">
        <is>
          <t>Esito</t>
        </is>
      </c>
      <c r="H1" s="18" t="n"/>
      <c r="I1" s="18" t="n"/>
      <c r="J1" s="18" t="n"/>
    </row>
    <row r="2">
      <c r="A2" s="21" t="n"/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</row>
    <row r="3">
      <c r="A3" s="21" t="n"/>
      <c r="B3" s="21" t="n"/>
      <c r="C3" s="21" t="n"/>
      <c r="D3" s="21" t="n"/>
      <c r="E3" s="21" t="n"/>
      <c r="F3" s="21" t="n"/>
      <c r="G3" s="21" t="n"/>
      <c r="H3" s="21" t="n"/>
      <c r="I3" s="21" t="n"/>
      <c r="J3" s="21" t="n"/>
    </row>
    <row r="4">
      <c r="A4" s="21" t="n"/>
      <c r="B4" s="21" t="n"/>
      <c r="C4" s="21" t="n"/>
      <c r="D4" s="21" t="n"/>
      <c r="E4" s="21" t="n"/>
      <c r="F4" s="21" t="n"/>
      <c r="G4" s="21" t="n"/>
      <c r="H4" s="21" t="n"/>
      <c r="I4" s="21" t="n"/>
      <c r="J4" s="21" t="n"/>
    </row>
    <row r="5">
      <c r="A5" s="21" t="n"/>
      <c r="B5" s="21" t="n"/>
      <c r="C5" s="21" t="n"/>
      <c r="D5" s="21" t="n"/>
      <c r="E5" s="21" t="n"/>
      <c r="F5" s="21" t="n"/>
      <c r="G5" s="21" t="n"/>
      <c r="H5" s="21" t="n"/>
      <c r="I5" s="21" t="n"/>
      <c r="J5" s="21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  <c r="I6" s="21" t="n"/>
      <c r="J6" s="21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  <c r="I7" s="21" t="n"/>
      <c r="J7" s="21" t="n"/>
    </row>
    <row r="8">
      <c r="A8" s="21" t="n"/>
      <c r="B8" s="21" t="n"/>
      <c r="C8" s="21" t="n"/>
      <c r="D8" s="21" t="n"/>
      <c r="E8" s="21" t="n"/>
      <c r="F8" s="21" t="n"/>
      <c r="G8" s="21" t="n"/>
      <c r="H8" s="21" t="n"/>
      <c r="I8" s="21" t="n"/>
      <c r="J8" s="21" t="n"/>
    </row>
    <row r="9">
      <c r="A9" s="21" t="n"/>
      <c r="B9" s="21" t="n"/>
      <c r="C9" s="21" t="n"/>
      <c r="D9" s="21" t="n"/>
      <c r="E9" s="21" t="n"/>
      <c r="F9" s="21" t="n"/>
      <c r="G9" s="21" t="n"/>
      <c r="H9" s="21" t="n"/>
      <c r="I9" s="21" t="n"/>
      <c r="J9" s="21" t="n"/>
    </row>
    <row r="10">
      <c r="A10" s="21" t="n"/>
      <c r="B10" s="21" t="n"/>
      <c r="C10" s="21" t="n"/>
      <c r="D10" s="21" t="n"/>
      <c r="E10" s="21" t="n"/>
      <c r="F10" s="21" t="n"/>
      <c r="G10" s="21" t="n"/>
      <c r="H10" s="21" t="n"/>
      <c r="I10" s="21" t="n"/>
      <c r="J10" s="21" t="n"/>
    </row>
    <row r="11">
      <c r="A11" s="21" t="n"/>
      <c r="B11" s="21" t="n"/>
      <c r="C11" s="21" t="n"/>
      <c r="D11" s="21" t="n"/>
      <c r="E11" s="21" t="n"/>
      <c r="F11" s="21" t="n"/>
      <c r="G11" s="21" t="n"/>
      <c r="H11" s="21" t="n"/>
      <c r="I11" s="21" t="n"/>
      <c r="J11" s="21" t="n"/>
    </row>
    <row r="12">
      <c r="A12" s="21" t="n"/>
      <c r="B12" s="21" t="n"/>
      <c r="C12" s="21" t="n"/>
      <c r="D12" s="21" t="n"/>
      <c r="E12" s="21" t="n"/>
      <c r="F12" s="21" t="n"/>
      <c r="G12" s="21" t="n"/>
      <c r="H12" s="21" t="n"/>
      <c r="I12" s="21" t="n"/>
      <c r="J12" s="21" t="n"/>
    </row>
    <row r="13">
      <c r="A13" s="21" t="n"/>
      <c r="B13" s="21" t="n"/>
      <c r="C13" s="21" t="n"/>
      <c r="D13" s="21" t="n"/>
      <c r="E13" s="21" t="n"/>
      <c r="F13" s="21" t="n"/>
      <c r="G13" s="21" t="n"/>
      <c r="H13" s="21" t="n"/>
      <c r="I13" s="21" t="n"/>
      <c r="J13" s="21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  <c r="I14" s="21" t="n"/>
      <c r="J14" s="21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  <c r="I15" s="21" t="n"/>
      <c r="J15" s="21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  <c r="I16" s="21" t="n"/>
      <c r="J16" s="21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  <c r="I17" s="21" t="n"/>
      <c r="J17" s="21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  <c r="I18" s="21" t="n"/>
      <c r="J18" s="21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  <c r="I19" s="21" t="n"/>
      <c r="J19" s="21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  <c r="I20" s="21" t="n"/>
      <c r="J20" s="21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  <c r="I21" s="21" t="n"/>
      <c r="J21" s="21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  <c r="I22" s="21" t="n"/>
      <c r="J22" s="21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  <c r="I23" s="21" t="n"/>
      <c r="J23" s="21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  <c r="I24" s="21" t="n"/>
      <c r="J24" s="21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  <c r="I25" s="21" t="n"/>
      <c r="J25" s="21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  <c r="I26" s="21" t="n"/>
      <c r="J26" s="21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  <c r="I27" s="21" t="n"/>
      <c r="J27" s="21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  <c r="I28" s="21" t="n"/>
      <c r="J28" s="21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  <c r="I29" s="21" t="n"/>
      <c r="J29" s="21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  <c r="I30" s="21" t="n"/>
      <c r="J30" s="21" t="n"/>
    </row>
    <row r="31">
      <c r="A31" s="21" t="n"/>
      <c r="B31" s="21" t="n"/>
      <c r="C31" s="21" t="n"/>
      <c r="D31" s="21" t="n"/>
      <c r="E31" s="21" t="n"/>
      <c r="F31" s="21" t="n"/>
      <c r="G31" s="21" t="n"/>
      <c r="H31" s="21" t="n"/>
      <c r="I31" s="21" t="n"/>
      <c r="J31" s="21" t="n"/>
    </row>
    <row r="32">
      <c r="A32" s="21" t="n"/>
      <c r="B32" s="21" t="n"/>
      <c r="C32" s="21" t="n"/>
      <c r="D32" s="21" t="n"/>
      <c r="E32" s="21" t="n"/>
      <c r="F32" s="21" t="n"/>
      <c r="G32" s="21" t="n"/>
      <c r="H32" s="21" t="n"/>
      <c r="I32" s="21" t="n"/>
      <c r="J32" s="21" t="n"/>
    </row>
    <row r="33">
      <c r="A33" s="21" t="n"/>
      <c r="B33" s="21" t="n"/>
      <c r="C33" s="21" t="n"/>
      <c r="D33" s="21" t="n"/>
      <c r="E33" s="21" t="n"/>
      <c r="F33" s="21" t="n"/>
      <c r="G33" s="21" t="n"/>
      <c r="H33" s="21" t="n"/>
      <c r="I33" s="21" t="n"/>
      <c r="J33" s="21" t="n"/>
    </row>
    <row r="34">
      <c r="A34" s="21" t="n"/>
      <c r="B34" s="21" t="n"/>
      <c r="C34" s="21" t="n"/>
      <c r="D34" s="21" t="n"/>
      <c r="E34" s="21" t="n"/>
      <c r="F34" s="21" t="n"/>
      <c r="G34" s="21" t="n"/>
      <c r="H34" s="21" t="n"/>
      <c r="I34" s="21" t="n"/>
      <c r="J34" s="21" t="n"/>
    </row>
    <row r="35">
      <c r="A35" s="21" t="n"/>
      <c r="B35" s="21" t="n"/>
      <c r="C35" s="21" t="n"/>
      <c r="D35" s="21" t="n"/>
      <c r="E35" s="21" t="n"/>
      <c r="F35" s="21" t="n"/>
      <c r="G35" s="21" t="n"/>
      <c r="H35" s="21" t="n"/>
      <c r="I35" s="21" t="n"/>
      <c r="J35" s="21" t="n"/>
    </row>
    <row r="36">
      <c r="A36" s="21" t="n"/>
      <c r="B36" s="21" t="n"/>
      <c r="C36" s="21" t="n"/>
      <c r="D36" s="21" t="n"/>
      <c r="E36" s="21" t="n"/>
      <c r="F36" s="21" t="n"/>
      <c r="G36" s="21" t="n"/>
      <c r="H36" s="21" t="n"/>
      <c r="I36" s="21" t="n"/>
      <c r="J36" s="21" t="n"/>
    </row>
    <row r="37">
      <c r="A37" s="21" t="n"/>
      <c r="B37" s="21" t="n"/>
      <c r="C37" s="21" t="n"/>
      <c r="D37" s="21" t="n"/>
      <c r="E37" s="21" t="n"/>
      <c r="F37" s="21" t="n"/>
      <c r="G37" s="21" t="n"/>
      <c r="H37" s="21" t="n"/>
      <c r="I37" s="21" t="n"/>
      <c r="J37" s="21" t="n"/>
    </row>
    <row r="38">
      <c r="A38" s="21" t="n"/>
      <c r="B38" s="21" t="n"/>
      <c r="C38" s="21" t="n"/>
      <c r="D38" s="21" t="n"/>
      <c r="E38" s="21" t="n"/>
      <c r="F38" s="21" t="n"/>
      <c r="G38" s="21" t="n"/>
      <c r="H38" s="21" t="n"/>
      <c r="I38" s="21" t="n"/>
      <c r="J38" s="21" t="n"/>
    </row>
    <row r="39">
      <c r="A39" s="21" t="n"/>
      <c r="B39" s="21" t="n"/>
      <c r="C39" s="21" t="n"/>
      <c r="D39" s="21" t="n"/>
      <c r="E39" s="21" t="n"/>
      <c r="F39" s="21" t="n"/>
      <c r="G39" s="21" t="n"/>
      <c r="H39" s="21" t="n"/>
      <c r="I39" s="21" t="n"/>
      <c r="J39" s="21" t="n"/>
    </row>
    <row r="40">
      <c r="A40" s="21" t="n"/>
      <c r="B40" s="21" t="n"/>
      <c r="C40" s="21" t="n"/>
      <c r="D40" s="21" t="n"/>
      <c r="E40" s="21" t="n"/>
      <c r="F40" s="21" t="n"/>
      <c r="G40" s="21" t="n"/>
      <c r="H40" s="21" t="n"/>
      <c r="I40" s="21" t="n"/>
      <c r="J40" s="21" t="n"/>
    </row>
    <row r="41">
      <c r="A41" s="21" t="n"/>
      <c r="B41" s="21" t="n"/>
      <c r="C41" s="21" t="n"/>
      <c r="D41" s="21" t="n"/>
      <c r="E41" s="21" t="n"/>
      <c r="F41" s="21" t="n"/>
      <c r="G41" s="21" t="n"/>
      <c r="H41" s="21" t="n"/>
      <c r="I41" s="21" t="n"/>
      <c r="J41" s="21" t="n"/>
    </row>
    <row r="42">
      <c r="A42" s="21" t="n"/>
      <c r="B42" s="21" t="n"/>
      <c r="C42" s="21" t="n"/>
      <c r="D42" s="21" t="n"/>
      <c r="E42" s="21" t="n"/>
      <c r="F42" s="21" t="n"/>
      <c r="G42" s="21" t="n"/>
      <c r="H42" s="21" t="n"/>
      <c r="I42" s="21" t="n"/>
      <c r="J42" s="21" t="n"/>
    </row>
    <row r="43">
      <c r="A43" s="21" t="n"/>
      <c r="B43" s="21" t="n"/>
      <c r="C43" s="21" t="n"/>
      <c r="D43" s="21" t="n"/>
      <c r="E43" s="21" t="n"/>
      <c r="F43" s="21" t="n"/>
      <c r="G43" s="21" t="n"/>
      <c r="H43" s="21" t="n"/>
      <c r="I43" s="21" t="n"/>
      <c r="J43" s="21" t="n"/>
    </row>
    <row r="44">
      <c r="A44" s="21" t="n"/>
      <c r="B44" s="21" t="n"/>
      <c r="C44" s="21" t="n"/>
      <c r="D44" s="21" t="n"/>
      <c r="E44" s="21" t="n"/>
      <c r="F44" s="21" t="n"/>
      <c r="G44" s="21" t="n"/>
      <c r="H44" s="21" t="n"/>
      <c r="I44" s="21" t="n"/>
      <c r="J44" s="21" t="n"/>
    </row>
    <row r="45">
      <c r="A45" s="21" t="n"/>
      <c r="B45" s="21" t="n"/>
      <c r="C45" s="21" t="n"/>
      <c r="D45" s="21" t="n"/>
      <c r="E45" s="21" t="n"/>
      <c r="F45" s="21" t="n"/>
      <c r="G45" s="21" t="n"/>
      <c r="H45" s="21" t="n"/>
      <c r="I45" s="21" t="n"/>
      <c r="J45" s="21" t="n"/>
    </row>
    <row r="46">
      <c r="A46" s="21" t="n"/>
      <c r="B46" s="21" t="n"/>
      <c r="C46" s="21" t="n"/>
      <c r="D46" s="21" t="n"/>
      <c r="E46" s="21" t="n"/>
      <c r="F46" s="21" t="n"/>
      <c r="G46" s="21" t="n"/>
      <c r="H46" s="21" t="n"/>
      <c r="I46" s="21" t="n"/>
      <c r="J46" s="21" t="n"/>
    </row>
    <row r="47">
      <c r="A47" s="21" t="n"/>
      <c r="B47" s="21" t="n"/>
      <c r="C47" s="21" t="n"/>
      <c r="D47" s="21" t="n"/>
      <c r="E47" s="21" t="n"/>
      <c r="F47" s="21" t="n"/>
      <c r="G47" s="21" t="n"/>
      <c r="H47" s="21" t="n"/>
      <c r="I47" s="21" t="n"/>
      <c r="J47" s="21" t="n"/>
    </row>
    <row r="48">
      <c r="A48" s="21" t="n"/>
      <c r="B48" s="21" t="n"/>
      <c r="C48" s="21" t="n"/>
      <c r="D48" s="21" t="n"/>
      <c r="E48" s="21" t="n"/>
      <c r="F48" s="21" t="n"/>
      <c r="G48" s="21" t="n"/>
      <c r="H48" s="21" t="n"/>
      <c r="I48" s="21" t="n"/>
      <c r="J48" s="21" t="n"/>
    </row>
    <row r="49">
      <c r="A49" s="21" t="n"/>
      <c r="B49" s="21" t="n"/>
      <c r="C49" s="21" t="n"/>
      <c r="D49" s="21" t="n"/>
      <c r="E49" s="21" t="n"/>
      <c r="F49" s="21" t="n"/>
      <c r="G49" s="21" t="n"/>
      <c r="H49" s="21" t="n"/>
      <c r="I49" s="21" t="n"/>
      <c r="J49" s="21" t="n"/>
    </row>
    <row r="50">
      <c r="A50" s="21" t="n"/>
      <c r="B50" s="21" t="n"/>
      <c r="C50" s="21" t="n"/>
      <c r="D50" s="21" t="n"/>
      <c r="E50" s="21" t="n"/>
      <c r="F50" s="21" t="n"/>
      <c r="G50" s="21" t="n"/>
      <c r="H50" s="21" t="n"/>
      <c r="I50" s="21" t="n"/>
      <c r="J50" s="21" t="n"/>
    </row>
  </sheetData>
  <pageMargins left="0.25" right="0.25" top="0.5" bottom="0.5" header="0.5" footer="0.5"/>
  <pageSetup fitToHeight="0" fitToWidth="1"/>
</worksheet>
</file>

<file path=xl/worksheets/sheet9.xml><?xml version="1.0" encoding="utf-8"?>
<worksheet xmlns="http://schemas.openxmlformats.org/spreadsheetml/2006/main">
  <sheetPr>
    <tabColor rgb="002563EB"/>
    <outlinePr summaryBelow="1" summaryRight="1"/>
    <pageSetUpPr fitToPage="1"/>
  </sheetPr>
  <dimension ref="A1:H129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4" t="inlineStr">
        <is>
          <t>Guida integrata</t>
        </is>
      </c>
    </row>
    <row r="2">
      <c r="A2" s="5" t="inlineStr">
        <is>
          <t>README operativo incorporato nel workbook: niente file esterni necessari per iniziare.</t>
        </is>
      </c>
    </row>
    <row r="4" ht="22" customHeight="1">
      <c r="A4" s="6" t="inlineStr">
        <is>
          <t>Avvio rapido</t>
        </is>
      </c>
    </row>
    <row r="5">
      <c r="A5" s="22" t="inlineStr">
        <is>
          <t>1. Apri il file .xlsm e abilita le macro se richiesto.
2. Vai a Parametri e scegli soglia/lotto attivo.
3. Compila Offerte.
4. Esegui CheckBeforeRun e poi SimulaScenario.
5. Usa ConfrontoWebGolden solo dopo aver copiato gli expected dal web.</t>
        </is>
      </c>
    </row>
    <row r="6"/>
    <row r="7"/>
    <row r="9" ht="22" customHeight="1">
      <c r="A9" s="6" t="inlineStr">
        <is>
          <t>Macro principali</t>
        </is>
      </c>
    </row>
    <row r="10">
      <c r="A10" s="22" t="inlineStr">
        <is>
          <t>CheckBeforeRun: valida setup e input.
SimulaScenario: calcola risultati.
OttimizzaLottoAttivo: lavora sul bidder e lotto selezionati.
ConfrontoWebGolden: confronta i totali Excel con valori web incollati in J2:J5.</t>
        </is>
      </c>
    </row>
    <row r="11"/>
    <row r="12"/>
    <row r="14" ht="22" customHeight="1">
      <c r="A14" s="6" t="inlineStr">
        <is>
          <t>Modalità light</t>
        </is>
      </c>
    </row>
    <row r="15">
      <c r="A15" s="22" t="inlineStr">
        <is>
          <t>Questo workbook supporta analisi offline rapide. Non sostituisce il simulatore web per scoring completo, warning documentali, persistenza, import/export JSON e confronto scenari salvati.</t>
        </is>
      </c>
    </row>
    <row r="16"/>
    <row r="17"/>
    <row r="19" ht="22" customHeight="1">
      <c r="A19" s="6" t="inlineStr">
        <is>
          <t>Sicurezza macro</t>
        </is>
      </c>
    </row>
    <row r="20">
      <c r="A20" s="22" t="inlineStr">
        <is>
          <t>Dopo download da web Excel può bloccare le macro. Su macOS/Windows può servire sbloccare il file o spostarlo in una posizione attendibile.</t>
        </is>
      </c>
    </row>
    <row r="21"/>
    <row r="22"/>
    <row r="24" ht="22" customHeight="1">
      <c r="A24" s="6" t="inlineStr">
        <is>
          <t>README incorporato</t>
        </is>
      </c>
    </row>
    <row r="25">
      <c r="A25" s="23" t="inlineStr">
        <is>
          <t># Template Excel e moduli VBA</t>
        </is>
      </c>
    </row>
    <row r="26">
      <c r="A26" s="24" t="inlineStr">
        <is>
          <t>Implementazione Excel + VBA del simulatore con estensioni avanzate:</t>
        </is>
      </c>
    </row>
    <row r="27">
      <c r="A27" s="24" t="inlineStr">
        <is>
          <t>- simulazione punteggi tecnici/economici per lotti L1-L4;</t>
        </is>
      </c>
    </row>
    <row r="28">
      <c r="A28" s="24" t="inlineStr">
        <is>
          <t>- soglia di sbarramento tecnica;</t>
        </is>
      </c>
    </row>
    <row r="29">
      <c r="A29" s="24" t="inlineStr">
        <is>
          <t>- ranking per lotto;</t>
        </is>
      </c>
    </row>
    <row r="30">
      <c r="A30" s="24" t="inlineStr">
        <is>
          <t>- valutazione combinatorie principali (L1+L2, L2+L3, L3+L4, L1+L4);</t>
        </is>
      </c>
    </row>
    <row r="31">
      <c r="A31" s="24" t="inlineStr">
        <is>
          <t>- scenario vincente per lotti singoli con tie-break su punteggio tecnico;</t>
        </is>
      </c>
    </row>
    <row r="32">
      <c r="A32" s="24" t="inlineStr">
        <is>
          <t>- ottimizzazione iterativa su lotto attivo con leve separate Q/T (escluso D);</t>
        </is>
      </c>
    </row>
    <row r="33">
      <c r="A33" s="24" t="inlineStr">
        <is>
          <t>- foglio di confronto golden con expected dal web.</t>
        </is>
      </c>
    </row>
    <row r="34">
      <c r="A34" s="23" t="inlineStr">
        <is>
          <t>## Template pronto all'uso</t>
        </is>
      </c>
    </row>
    <row r="35">
      <c r="A35" s="24" t="inlineStr">
        <is>
          <t>Nel pacchetto è incluso `templates/Simulatore-TPL-Lotti-1-4-template.xlsm`, già predisposto con fogli, intestazioni, parametri base, log ottimizzazione, sezione confronto web e moduli VBA incorporati. I sorgenti `.bas` restano in `src/` per audit e manutenzione, ma non devono essere importati dall'utente finale.</t>
        </is>
      </c>
    </row>
    <row r="36">
      <c r="A36" s="24" t="inlineStr">
        <is>
          <t>Fogli inclusi nel template:</t>
        </is>
      </c>
    </row>
    <row r="37">
      <c r="A37" s="24" t="inlineStr">
        <is>
          <t>1. `Istruzioni`</t>
        </is>
      </c>
    </row>
    <row r="38">
      <c r="A38" s="24" t="inlineStr">
        <is>
          <t>2. `Parametri`</t>
        </is>
      </c>
    </row>
    <row r="39">
      <c r="A39" s="24" t="inlineStr">
        <is>
          <t>3. `Offerte`</t>
        </is>
      </c>
    </row>
    <row r="40">
      <c r="A40" s="24" t="inlineStr">
        <is>
          <t>4. `Risultati`</t>
        </is>
      </c>
    </row>
    <row r="41">
      <c r="A41" s="24" t="inlineStr">
        <is>
          <t>5. `Ottimizzazione`</t>
        </is>
      </c>
    </row>
    <row r="42">
      <c r="A42" s="24" t="inlineStr">
        <is>
          <t>6. `LogOttimizzazione`</t>
        </is>
      </c>
    </row>
    <row r="43">
      <c r="A43" s="24" t="inlineStr">
        <is>
          <t>7. `ConfrontoWeb`</t>
        </is>
      </c>
    </row>
    <row r="44">
      <c r="A44" s="23" t="inlineStr">
        <is>
          <t>## Mappatura minima celle</t>
        </is>
      </c>
    </row>
    <row r="45">
      <c r="A45" s="23" t="inlineStr">
        <is>
          <t>### Foglio `Parametri`</t>
        </is>
      </c>
    </row>
    <row r="46">
      <c r="A46" s="24" t="inlineStr">
        <is>
          <t>- `B2`: soglia tecnica</t>
        </is>
      </c>
    </row>
    <row r="47">
      <c r="A47" s="24" t="inlineStr">
        <is>
          <t>- `B3`: lotto attivo (`L1`/`L2`/`L3`/`L4`)</t>
        </is>
      </c>
    </row>
    <row r="48">
      <c r="A48" s="23" t="inlineStr">
        <is>
          <t>### Foglio `Offerte`</t>
        </is>
      </c>
    </row>
    <row r="49">
      <c r="A49" s="24" t="inlineStr">
        <is>
          <t>- `A`: BidderId</t>
        </is>
      </c>
    </row>
    <row r="50">
      <c r="A50" s="24" t="inlineStr">
        <is>
          <t>- `B`: BidderNome</t>
        </is>
      </c>
    </row>
    <row r="51">
      <c r="A51" s="24" t="inlineStr">
        <is>
          <t>- `C`: Lotto (`L1`..`L4`)</t>
        </is>
      </c>
    </row>
    <row r="52">
      <c r="A52" s="24" t="inlineStr">
        <is>
          <t>- `D`: Attivo (`1/0`)</t>
        </is>
      </c>
    </row>
    <row r="53">
      <c r="A53" s="24" t="inlineStr">
        <is>
          <t>- `E`: PunteggioTecnicoRaw (0-70)</t>
        </is>
      </c>
    </row>
    <row r="54">
      <c r="A54" s="24" t="inlineStr">
        <is>
          <t>- `F`: RibassoMedioPercento (0-100)</t>
        </is>
      </c>
    </row>
    <row r="55">
      <c r="A55" s="23" t="inlineStr">
        <is>
          <t>### Foglio `Ottimizzazione`</t>
        </is>
      </c>
    </row>
    <row r="56">
      <c r="A56" s="24" t="inlineStr">
        <is>
          <t>- `B2`: BidderId selezionato</t>
        </is>
      </c>
    </row>
    <row r="57">
      <c r="A57" s="24" t="inlineStr">
        <is>
          <t>- `B3`: Max iterazioni</t>
        </is>
      </c>
    </row>
    <row r="58">
      <c r="A58" s="24" t="inlineStr">
        <is>
          <t>- `B4`: Delta tecnico leva Q</t>
        </is>
      </c>
    </row>
    <row r="59">
      <c r="A59" s="24" t="inlineStr">
        <is>
          <t>- `B6`: Delta ribasso finanziabile per step</t>
        </is>
      </c>
    </row>
    <row r="60">
      <c r="A60" s="24" t="inlineStr">
        <is>
          <t>- `B7`: Tetto tecnico leva Q</t>
        </is>
      </c>
    </row>
    <row r="61">
      <c r="A61" s="24" t="inlineStr">
        <is>
          <t>- `B8`: Delta tecnico leva T</t>
        </is>
      </c>
    </row>
    <row r="62">
      <c r="A62" s="24" t="inlineStr">
        <is>
          <t>- `B9`: Tetto tecnico leva T</t>
        </is>
      </c>
    </row>
    <row r="63">
      <c r="A63" s="23" t="inlineStr">
        <is>
          <t>## Macro principali</t>
        </is>
      </c>
    </row>
    <row r="64">
      <c r="A64" s="24" t="inlineStr">
        <is>
          <t>- `CheckBeforeRun`</t>
        </is>
      </c>
    </row>
    <row r="65">
      <c r="A65" s="24" t="inlineStr">
        <is>
          <t>- `SimulaScenario`</t>
        </is>
      </c>
    </row>
    <row r="66">
      <c r="A66" s="24" t="inlineStr">
        <is>
          <t>- `ValutaCombinatorie`</t>
        </is>
      </c>
    </row>
    <row r="67">
      <c r="A67" s="24" t="inlineStr">
        <is>
          <t>- `OttimizzaLottoAttivo`</t>
        </is>
      </c>
    </row>
    <row r="68">
      <c r="A68" s="24" t="inlineStr">
        <is>
          <t>- `ResetLogOttimizzazione`</t>
        </is>
      </c>
    </row>
    <row r="69">
      <c r="A69" s="24" t="inlineStr">
        <is>
          <t>- `ConfrontoWebGolden`</t>
        </is>
      </c>
    </row>
    <row r="70">
      <c r="A70" s="23" t="inlineStr">
        <is>
          <t>## Avvio rapido (ready to use)</t>
        </is>
      </c>
    </row>
    <row r="71">
      <c r="A71" s="24" t="inlineStr">
        <is>
          <t>1. Apri `templates/Simulatore-TPL-Lotti-1-4-template.xlsm`.</t>
        </is>
      </c>
    </row>
    <row r="72">
      <c r="A72" s="24" t="inlineStr">
        <is>
          <t>2. Abilita le macro se Excel lo richiede.</t>
        </is>
      </c>
    </row>
    <row r="73">
      <c r="A73" s="24" t="inlineStr">
        <is>
          <t>3. Verifica `Parametri` e aggiorna `Offerte` (puoi partire da `templates/offerte-esempio.csv`).</t>
        </is>
      </c>
    </row>
    <row r="74">
      <c r="A74" s="24" t="inlineStr">
        <is>
          <t>4. Esegui in ordine: `CheckBeforeRun`, `SimulaScenario`, `OttimizzaLottoAttivo`, `ConfrontoWebGolden`.</t>
        </is>
      </c>
    </row>
    <row r="75">
      <c r="A75" s="24" t="inlineStr">
        <is>
          <t>5. Per uso quotidiano, assegna queste macro alla Barra di accesso rapido di Excel (File &gt; Opzioni &gt; Barra di accesso rapido).</t>
        </is>
      </c>
    </row>
    <row r="76">
      <c r="A76" s="23" t="inlineStr">
        <is>
          <t>## Come usare il confronto golden</t>
        </is>
      </c>
    </row>
    <row r="77">
      <c r="A77" s="24" t="inlineStr">
        <is>
          <t>1. Esegui `SimulaScenario`.</t>
        </is>
      </c>
    </row>
    <row r="78">
      <c r="A78" s="24" t="inlineStr">
        <is>
          <t>2. Apri il tool web con lo stesso input scenario.</t>
        </is>
      </c>
    </row>
    <row r="79">
      <c r="A79" s="24" t="inlineStr">
        <is>
          <t>3. Copia i totali migliori lotto in `ConfrontoWeb!J2:J5`.</t>
        </is>
      </c>
    </row>
    <row r="80">
      <c r="A80" s="24" t="inlineStr">
        <is>
          <t>4. Esegui `ConfrontoWebGolden`.</t>
        </is>
      </c>
    </row>
    <row r="81">
      <c r="A81" s="24" t="inlineStr">
        <is>
          <t>5. Verifica esito `OK/KO` con tolleranza.</t>
        </is>
      </c>
    </row>
    <row r="82">
      <c r="A82" s="23" t="inlineStr">
        <is>
          <t>## Gap analysis: Excel vs Web</t>
        </is>
      </c>
    </row>
    <row r="83">
      <c r="A83" s="23" t="inlineStr">
        <is>
          <t>### Coperto nel pacchetto Excel VBA</t>
        </is>
      </c>
    </row>
    <row r="84">
      <c r="A84" s="24" t="inlineStr">
        <is>
          <t>- Simulazione per lotto con soglia tecnica e punteggio economico.</t>
        </is>
      </c>
    </row>
    <row r="85">
      <c r="A85" s="24" t="inlineStr">
        <is>
          <t>- Valutazione combinatorie principali (`L1+L2`, `L2+L3`, `L3+L4`, `L1+L4`).</t>
        </is>
      </c>
    </row>
    <row r="86">
      <c r="A86" s="24" t="inlineStr">
        <is>
          <t>- Ottimizzazione iterativa su lotto attivo con log iterazioni.</t>
        </is>
      </c>
    </row>
    <row r="87">
      <c r="A87" s="24" t="inlineStr">
        <is>
          <t>- Confronto golden con valori attesi dal tool web.</t>
        </is>
      </c>
    </row>
    <row r="88">
      <c r="A88" s="23" t="inlineStr">
        <is>
          <t>### Gap funzionali rispetto al tool Web</t>
        </is>
      </c>
    </row>
    <row r="89">
      <c r="A89" s="24" t="inlineStr">
        <is>
          <t>- **Modello criteri**: Excel usa leve aggregate e non replica ancora tutti i sub-criteri A-G con pari granularità.</t>
        </is>
      </c>
    </row>
    <row r="90">
      <c r="A90" s="24" t="inlineStr">
        <is>
          <t>- **Combinatorie**: la logica Excel è semplificata e non copre integralmente tutti i vincoli documentali e i warning avanzati.</t>
        </is>
      </c>
    </row>
    <row r="91">
      <c r="A91" s="24" t="inlineStr">
        <is>
          <t>- **Scenario globale**: manca un motore completo di enumerazione/cross-scenario equivalente al ranking avanzato del web.</t>
        </is>
      </c>
    </row>
    <row r="92">
      <c r="A92" s="24" t="inlineStr">
        <is>
          <t>- **Persistenza**: non ci sono migrazioni schema/versioni snapshot e compatibilità legacy come nel web.</t>
        </is>
      </c>
    </row>
    <row r="93">
      <c r="A93" s="24" t="inlineStr">
        <is>
          <t>- **UX operativa**: assenti confronto scenari salvati, report estesi, pannelli insight e filtri completi della UI React.</t>
        </is>
      </c>
    </row>
    <row r="94">
      <c r="A94" s="23" t="inlineStr">
        <is>
          <t>### Gap non funzionali</t>
        </is>
      </c>
    </row>
    <row r="95">
      <c r="A95" s="24" t="inlineStr">
        <is>
          <t>- **Test automatici**: VBA non ha suite automatica equivalente a `npm test`.</t>
        </is>
      </c>
    </row>
    <row r="96">
      <c r="A96" s="24" t="inlineStr">
        <is>
          <t>- **Tracciabilità release**: il pacchetto Excel non ha pipeline CI/CD o smoke test automatico.</t>
        </is>
      </c>
    </row>
    <row r="97">
      <c r="A97" s="24" t="inlineStr">
        <is>
          <t>- **Manutenibilità**: maggiore rischio divergenza formula/comportamento tra Excel e web nel tempo.</t>
        </is>
      </c>
    </row>
    <row r="98">
      <c r="A98" s="23" t="inlineStr">
        <is>
          <t>### Priorità di chiusura gap consigliata</t>
        </is>
      </c>
    </row>
    <row r="99">
      <c r="A99" s="24" t="inlineStr">
        <is>
          <t>1. Allineare formule di scoring e warning critici con casi golden versionati.</t>
        </is>
      </c>
    </row>
    <row r="100">
      <c r="A100" s="24" t="inlineStr">
        <is>
          <t>2. Portare le leve da aggregate a struttura per criterio (Q/T), mantenendo esclusione discrezionali `D`.</t>
        </is>
      </c>
    </row>
    <row r="101">
      <c r="A101" s="24" t="inlineStr">
        <is>
          <t>3. Introdurre export/import snapshot Excel stabile e controlli di validazione in macro.</t>
        </is>
      </c>
    </row>
    <row r="102">
      <c r="A102" s="24" t="inlineStr">
        <is>
          <t>4. Aggiungere batteria di test regressivi macro (casi campione su file dedicato).</t>
        </is>
      </c>
    </row>
    <row r="103">
      <c r="A103" s="23" t="inlineStr">
        <is>
          <t>## Versione pacchetto web</t>
        </is>
      </c>
    </row>
    <row r="104">
      <c r="A104" s="24" t="inlineStr">
        <is>
          <t>Il sito legge il badge versione da `public/downloads/pacchetto-excel-vba.manifest.json`.</t>
        </is>
      </c>
    </row>
    <row r="105">
      <c r="A105" s="24" t="inlineStr">
        <is>
          <t>Quando aggiorni il workbook pubblico, aggiorna anche il manifest (`version`, `builtAt`, `sha256`, `file`, `templateFile`, `minAppVersion`, `generatedBy`).</t>
        </is>
      </c>
    </row>
    <row r="106">
      <c r="A106" s="23" t="inlineStr">
        <is>
          <t>## Manutenzione del template `.xlsm`</t>
        </is>
      </c>
    </row>
    <row r="107">
      <c r="A107" s="24" t="inlineStr">
        <is>
          <t>Quando modifichi i sorgenti `src/*.bas`, apri `templates/Simulatore-TPL-Lotti-1-4-template.xlsm`, sostituisci o reimporta i moduli nel progetto VBA, salva il workbook e poi rigenera il file pubblico con `npm run package:excel`.</t>
        </is>
      </c>
    </row>
    <row r="108">
      <c r="A108" s="23" t="inlineStr">
        <is>
          <t>## Priorità implementate</t>
        </is>
      </c>
    </row>
    <row r="109">
      <c r="A109" s="24" t="inlineStr">
        <is>
          <t>1. **Golden versionati**: aggiunto `templates/golden-cases.csv` per tracciare expected Lotto L1-L4.</t>
        </is>
      </c>
    </row>
    <row r="110">
      <c r="A110" s="24" t="inlineStr">
        <is>
          <t>2. **Leve Q/T**: ottimizzazione con step separati e massimali distinti per ridurre divergenza con web.</t>
        </is>
      </c>
    </row>
    <row r="111">
      <c r="A111" s="24" t="inlineStr">
        <is>
          <t>3. **Validazioni macro**: aggiunto `modChecks.bas` con `CheckBeforeRun` e verifica setup fogli/soglia.</t>
        </is>
      </c>
    </row>
    <row r="112">
      <c r="A112" s="24" t="inlineStr">
        <is>
          <t>4. **Packaging ripetibile**: aggiunto script `scripts/package-excel-vba.mjs` per rigenerare workbook pubblico + manifest + hash dal template `.xlsm` macro-abilitato.</t>
        </is>
      </c>
    </row>
    <row r="113">
      <c r="A113" s="24" t="inlineStr">
        <is>
          <t>5. **Confronto strutturato**: `ConfrontoWebGolden` ora include colonna lotto e output tabellare più esplicito.</t>
        </is>
      </c>
    </row>
    <row r="114">
      <c r="A114" s="23" t="inlineStr">
        <is>
          <t>## Modalità di prodotto</t>
        </is>
      </c>
    </row>
    <row r="115">
      <c r="A115" s="24" t="inlineStr">
        <is>
          <t>Questa implementazione segue modalità **light**: supporto operativo offline e confronto rapido, senza parità completa con il motore web.</t>
        </is>
      </c>
    </row>
    <row r="116">
      <c r="A116" s="23" t="inlineStr">
        <is>
          <t>## Prossimi step operativi (1-4)</t>
        </is>
      </c>
    </row>
    <row r="117">
      <c r="A117" s="24" t="inlineStr">
        <is>
          <t>1. Compilare `templates/golden-cases.csv` con expected reali per 5-10 scenari campione.</t>
        </is>
      </c>
    </row>
    <row r="118">
      <c r="A118" s="24" t="inlineStr">
        <is>
          <t>2. Eseguire `npm run package:excel` ad ogni aggiornamento del toolkit prima del rilascio.</t>
        </is>
      </c>
    </row>
    <row r="119">
      <c r="A119" s="24" t="inlineStr">
        <is>
          <t>3. Usare il badge web con tooltip hash breve per verificare l'allineamento del file scaricato.</t>
        </is>
      </c>
    </row>
    <row r="120">
      <c r="A120" s="24" t="inlineStr">
        <is>
          <t>4. Eseguire `CheckBeforeRun` nel workbook prima di simulazione/ottimizzazione.</t>
        </is>
      </c>
    </row>
    <row r="121">
      <c r="A121" s="23" t="inlineStr">
        <is>
          <t>## Golden session consigliata (operativa)</t>
        </is>
      </c>
    </row>
    <row r="122">
      <c r="A122" s="24" t="inlineStr">
        <is>
          <t>1. Carica `templates/offerte-esempio.csv` in `Offerte`.</t>
        </is>
      </c>
    </row>
    <row r="123">
      <c r="A123" s="24" t="inlineStr">
        <is>
          <t>2. Esegui `CheckBeforeRun`.</t>
        </is>
      </c>
    </row>
    <row r="124">
      <c r="A124" s="24" t="inlineStr">
        <is>
          <t>3. Esegui `SimulaScenario`.</t>
        </is>
      </c>
    </row>
    <row r="125">
      <c r="A125" s="24" t="inlineStr">
        <is>
          <t>4. Sul web replica lo stesso scenario e annota i totali migliori lotto.</t>
        </is>
      </c>
    </row>
    <row r="126">
      <c r="A126" s="24" t="inlineStr">
        <is>
          <t>5. Inserisci gli expected nel file `templates/golden-cases.csv` e in `ConfrontoWeb!J2:J5`.</t>
        </is>
      </c>
    </row>
    <row r="127">
      <c r="A127" s="24" t="inlineStr">
        <is>
          <t>6. Esegui `ConfrontoWebGolden` e salva esiti `OK/KO`.</t>
        </is>
      </c>
    </row>
    <row r="128">
      <c r="A128" s="23" t="inlineStr">
        <is>
          <t>## Verifica pacchetto</t>
        </is>
      </c>
    </row>
    <row r="129">
      <c r="A129" s="24" t="inlineStr">
        <is>
          <t>Dopo `npm run package:excel`, esegui `npm run validate:excel-package` per verificare hash, schema manifest, presenza del file `.xlsm` unico, content type macro-enabled e progetto VBA incorporato.</t>
        </is>
      </c>
    </row>
  </sheetData>
  <mergeCells count="116">
    <mergeCell ref="A77:H77"/>
    <mergeCell ref="A83:H83"/>
    <mergeCell ref="A15:H17"/>
    <mergeCell ref="A49:H49"/>
    <mergeCell ref="A110:H110"/>
    <mergeCell ref="A119:H119"/>
    <mergeCell ref="A69:H69"/>
    <mergeCell ref="A25:H25"/>
    <mergeCell ref="A66:H66"/>
    <mergeCell ref="A118:H118"/>
    <mergeCell ref="A75:H75"/>
    <mergeCell ref="A50:H50"/>
    <mergeCell ref="A55:H55"/>
    <mergeCell ref="A86:H86"/>
    <mergeCell ref="A95:H95"/>
    <mergeCell ref="A104:H104"/>
    <mergeCell ref="A32:H32"/>
    <mergeCell ref="A97:H97"/>
    <mergeCell ref="A106:H106"/>
    <mergeCell ref="A29:H29"/>
    <mergeCell ref="A81:H81"/>
    <mergeCell ref="A38:H38"/>
    <mergeCell ref="A96:H96"/>
    <mergeCell ref="A5:H7"/>
    <mergeCell ref="A20:H22"/>
    <mergeCell ref="A121:H121"/>
    <mergeCell ref="A44:H44"/>
    <mergeCell ref="A31:H31"/>
    <mergeCell ref="A58:H58"/>
    <mergeCell ref="A40:H40"/>
    <mergeCell ref="A67:H67"/>
    <mergeCell ref="A24:H24"/>
    <mergeCell ref="A73:H73"/>
    <mergeCell ref="A51:H51"/>
    <mergeCell ref="A107:H107"/>
    <mergeCell ref="A82:H82"/>
    <mergeCell ref="A60:H60"/>
    <mergeCell ref="A123:H123"/>
    <mergeCell ref="A124:H124"/>
    <mergeCell ref="A99:H99"/>
    <mergeCell ref="A108:H108"/>
    <mergeCell ref="A84:H84"/>
    <mergeCell ref="A27:H27"/>
    <mergeCell ref="A101:H101"/>
    <mergeCell ref="A2:H2"/>
    <mergeCell ref="A85:H85"/>
    <mergeCell ref="A42:H42"/>
    <mergeCell ref="A47:H47"/>
    <mergeCell ref="A126:H126"/>
    <mergeCell ref="A62:H62"/>
    <mergeCell ref="A122:H122"/>
    <mergeCell ref="A125:H125"/>
    <mergeCell ref="A72:H72"/>
    <mergeCell ref="A28:H28"/>
    <mergeCell ref="A112:H112"/>
    <mergeCell ref="A127:H127"/>
    <mergeCell ref="A48:H48"/>
    <mergeCell ref="A30:H30"/>
    <mergeCell ref="A114:H114"/>
    <mergeCell ref="A59:H59"/>
    <mergeCell ref="A64:H64"/>
    <mergeCell ref="A98:H98"/>
    <mergeCell ref="A79:H79"/>
    <mergeCell ref="A61:H61"/>
    <mergeCell ref="A88:H88"/>
    <mergeCell ref="A70:H70"/>
    <mergeCell ref="A54:H54"/>
    <mergeCell ref="A41:H41"/>
    <mergeCell ref="A90:H90"/>
    <mergeCell ref="A74:H74"/>
    <mergeCell ref="A56:H56"/>
    <mergeCell ref="A26:H26"/>
    <mergeCell ref="A71:H71"/>
    <mergeCell ref="A129:H129"/>
    <mergeCell ref="A76:H76"/>
    <mergeCell ref="A33:H33"/>
    <mergeCell ref="A116:H116"/>
    <mergeCell ref="A100:H100"/>
    <mergeCell ref="A53:H53"/>
    <mergeCell ref="A109:H109"/>
    <mergeCell ref="A35:H35"/>
    <mergeCell ref="A63:H63"/>
    <mergeCell ref="A115:H115"/>
    <mergeCell ref="A19:H19"/>
    <mergeCell ref="A68:H68"/>
    <mergeCell ref="A102:H102"/>
    <mergeCell ref="A117:H117"/>
    <mergeCell ref="A111:H111"/>
    <mergeCell ref="A34:H34"/>
    <mergeCell ref="A9:H9"/>
    <mergeCell ref="A92:H92"/>
    <mergeCell ref="A39:H39"/>
    <mergeCell ref="A10:H12"/>
    <mergeCell ref="A36:H36"/>
    <mergeCell ref="A1:H1"/>
    <mergeCell ref="A45:H45"/>
    <mergeCell ref="A94:H94"/>
    <mergeCell ref="A103:H103"/>
    <mergeCell ref="A78:H78"/>
    <mergeCell ref="A87:H87"/>
    <mergeCell ref="A65:H65"/>
    <mergeCell ref="A128:H128"/>
    <mergeCell ref="A80:H80"/>
    <mergeCell ref="A37:H37"/>
    <mergeCell ref="A46:H46"/>
    <mergeCell ref="A89:H89"/>
    <mergeCell ref="A120:H120"/>
    <mergeCell ref="A105:H105"/>
    <mergeCell ref="A57:H57"/>
    <mergeCell ref="A113:H113"/>
    <mergeCell ref="A14:H14"/>
    <mergeCell ref="A4:H4"/>
    <mergeCell ref="A91:H91"/>
    <mergeCell ref="A43:H43"/>
    <mergeCell ref="A52:H52"/>
    <mergeCell ref="A93:H93"/>
  </mergeCells>
  <pageMargins left="0.25" right="0.25" top="0.5" bottom="0.5" header="0.5" footer="0.5"/>
  <pageSetup fitToHeight="0" fitToWidth="1"/>
</worksheet>
</file>

<file path=xl/worksheets/sheet10.xml><?xml version="1.0" encoding="utf-8"?>
<worksheet xmlns="http://schemas.openxmlformats.org/spreadsheetml/2006/main">
  <sheetPr>
    <tabColor rgb="0070AD47"/>
    <outlinePr summaryBelow="1" summaryRight="1"/>
    <pageSetUpPr fitToPage="1"/>
  </sheetPr>
  <dimension ref="A1:H1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24" customWidth="1" min="2" max="2"/>
    <col width="24" customWidth="1" min="3" max="3"/>
    <col width="45" customWidth="1" min="4" max="4"/>
    <col width="42" customWidth="1" min="5" max="5"/>
  </cols>
  <sheetData>
    <row r="1" ht="28" customHeight="1">
      <c r="A1" s="4" t="inlineStr">
        <is>
          <t>Glossario e campi</t>
        </is>
      </c>
    </row>
    <row r="2">
      <c r="A2" s="5" t="inlineStr">
        <is>
          <t>Riferimento rapido per compilare senza cercare istruzioni esterne.</t>
        </is>
      </c>
    </row>
    <row r="3" ht="24" customHeight="1">
      <c r="A3" s="18" t="n"/>
      <c r="B3" s="18" t="n"/>
      <c r="C3" s="18" t="n"/>
      <c r="D3" s="18" t="n"/>
      <c r="E3" s="18" t="n"/>
    </row>
    <row r="4">
      <c r="A4" s="10" t="inlineStr">
        <is>
          <t>Area</t>
        </is>
      </c>
      <c r="B4" s="10" t="inlineStr">
        <is>
          <t>Campo/Macro</t>
        </is>
      </c>
      <c r="C4" s="10" t="inlineStr">
        <is>
          <t>Dove</t>
        </is>
      </c>
      <c r="D4" s="10" t="inlineStr">
        <is>
          <t>Significato</t>
        </is>
      </c>
      <c r="E4" s="10" t="inlineStr">
        <is>
          <t>Note operative</t>
        </is>
      </c>
    </row>
    <row r="5">
      <c r="A5" s="10" t="inlineStr">
        <is>
          <t>Parametri</t>
        </is>
      </c>
      <c r="B5" s="10" t="inlineStr">
        <is>
          <t>SogliaTecnica</t>
        </is>
      </c>
      <c r="C5" s="10" t="inlineStr">
        <is>
          <t>Parametri!B2</t>
        </is>
      </c>
      <c r="D5" s="10" t="inlineStr">
        <is>
          <t>Punteggio tecnico minimo per essere ammessi.</t>
        </is>
      </c>
      <c r="E5" s="10" t="inlineStr">
        <is>
          <t>Valore 0-70.</t>
        </is>
      </c>
    </row>
    <row r="6">
      <c r="A6" s="10" t="inlineStr">
        <is>
          <t>Parametri</t>
        </is>
      </c>
      <c r="B6" s="10" t="inlineStr">
        <is>
          <t>LottoAttivo</t>
        </is>
      </c>
      <c r="C6" s="10" t="inlineStr">
        <is>
          <t>Parametri!B3</t>
        </is>
      </c>
      <c r="D6" s="10" t="inlineStr">
        <is>
          <t>Lotto usato dalle macro di ottimizzazione.</t>
        </is>
      </c>
      <c r="E6" s="10" t="inlineStr">
        <is>
          <t>Dropdown L1-L4.</t>
        </is>
      </c>
    </row>
    <row r="7">
      <c r="A7" s="10" t="inlineStr">
        <is>
          <t>Offerte</t>
        </is>
      </c>
      <c r="B7" s="10" t="inlineStr">
        <is>
          <t>Attivo</t>
        </is>
      </c>
      <c r="C7" s="10" t="inlineStr">
        <is>
          <t>Offerte!D:D</t>
        </is>
      </c>
      <c r="D7" s="10" t="inlineStr">
        <is>
          <t>1 include la riga nella simulazione, 0 la esclude.</t>
        </is>
      </c>
      <c r="E7" s="10" t="inlineStr">
        <is>
          <t>Usare 0/1.</t>
        </is>
      </c>
    </row>
    <row r="8">
      <c r="A8" s="10" t="inlineStr">
        <is>
          <t>Offerte</t>
        </is>
      </c>
      <c r="B8" s="10" t="inlineStr">
        <is>
          <t>PunteggioTecnicoRaw</t>
        </is>
      </c>
      <c r="C8" s="10" t="inlineStr">
        <is>
          <t>Offerte!E:E</t>
        </is>
      </c>
      <c r="D8" s="10" t="inlineStr">
        <is>
          <t>Punteggio tecnico simulato aggregato.</t>
        </is>
      </c>
      <c r="E8" s="10" t="inlineStr">
        <is>
          <t>Modalità light, 0-70.</t>
        </is>
      </c>
    </row>
    <row r="9">
      <c r="A9" s="10" t="inlineStr">
        <is>
          <t>Offerte</t>
        </is>
      </c>
      <c r="B9" s="10" t="inlineStr">
        <is>
          <t>RibassoMedioPercento</t>
        </is>
      </c>
      <c r="C9" s="10" t="inlineStr">
        <is>
          <t>Offerte!F:F</t>
        </is>
      </c>
      <c r="D9" s="10" t="inlineStr">
        <is>
          <t>Ribasso economico medio simulato.</t>
        </is>
      </c>
      <c r="E9" s="10" t="inlineStr">
        <is>
          <t>0-100.</t>
        </is>
      </c>
    </row>
    <row r="10">
      <c r="A10" s="10" t="inlineStr">
        <is>
          <t>Ottimizzazione</t>
        </is>
      </c>
      <c r="B10" s="10" t="inlineStr">
        <is>
          <t>BidderId</t>
        </is>
      </c>
      <c r="C10" s="10" t="inlineStr">
        <is>
          <t>Ottimizzazione!B2</t>
        </is>
      </c>
      <c r="D10" s="10" t="inlineStr">
        <is>
          <t>Concorrente target.</t>
        </is>
      </c>
      <c r="E10" s="10" t="inlineStr">
        <is>
          <t>Deve esistere in Offerte.</t>
        </is>
      </c>
    </row>
    <row r="11">
      <c r="A11" s="10" t="inlineStr">
        <is>
          <t>Macro</t>
        </is>
      </c>
      <c r="B11" s="10" t="inlineStr">
        <is>
          <t>CheckBeforeRun</t>
        </is>
      </c>
      <c r="C11" s="10" t="inlineStr">
        <is>
          <t>Macro</t>
        </is>
      </c>
      <c r="D11" s="10" t="inlineStr">
        <is>
          <t>Controllo input e struttura workbook.</t>
        </is>
      </c>
      <c r="E11" s="10" t="inlineStr">
        <is>
          <t>Eseguire prima di simulare.</t>
        </is>
      </c>
    </row>
    <row r="12">
      <c r="A12" s="10" t="inlineStr">
        <is>
          <t>Macro</t>
        </is>
      </c>
      <c r="B12" s="10" t="inlineStr">
        <is>
          <t>SimulaScenario</t>
        </is>
      </c>
      <c r="C12" s="10" t="inlineStr">
        <is>
          <t>Macro</t>
        </is>
      </c>
      <c r="D12" s="10" t="inlineStr">
        <is>
          <t>Calcola risultati, combinatorie e vincitori.</t>
        </is>
      </c>
      <c r="E12" s="10" t="inlineStr">
        <is>
          <t>Aggiorna Risultati.</t>
        </is>
      </c>
    </row>
    <row r="13">
      <c r="A13" s="10" t="inlineStr">
        <is>
          <t>Macro</t>
        </is>
      </c>
      <c r="B13" s="10" t="inlineStr">
        <is>
          <t>OttimizzaLottoAttivo</t>
        </is>
      </c>
      <c r="C13" s="10" t="inlineStr">
        <is>
          <t>Macro</t>
        </is>
      </c>
      <c r="D13" s="10" t="inlineStr">
        <is>
          <t>Itera sulle leve Q/T del bidder target.</t>
        </is>
      </c>
      <c r="E13" s="10" t="inlineStr">
        <is>
          <t>Aggiorna Offerte e Log.</t>
        </is>
      </c>
    </row>
    <row r="14">
      <c r="A14" t="inlineStr">
        <is>
          <t>Macro</t>
        </is>
      </c>
      <c r="B14" t="inlineStr">
        <is>
          <t>ConfrontoWebGolden</t>
        </is>
      </c>
      <c r="C14" t="inlineStr">
        <is>
          <t>Macro</t>
        </is>
      </c>
      <c r="D14" t="inlineStr">
        <is>
          <t>Confronta Excel con expected web.</t>
        </is>
      </c>
      <c r="E14" t="inlineStr">
        <is>
          <t>Usa J2:J5 in ConfrontoWeb.</t>
        </is>
      </c>
    </row>
  </sheetData>
  <mergeCells count="2">
    <mergeCell ref="A2:H2"/>
    <mergeCell ref="A1:H1"/>
  </mergeCells>
  <pageMargins left="0.25" right="0.25" top="0.5" bottom="0.5" header="0.5" footer="0.5"/>
  <pageSetup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2026-05-25T17:58:55Z</dcterms:created>
  <dcterms:modified xmlns:dcterms="http://purl.org/dc/terms/" xmlns:xsi="http://www.w3.org/2001/XMLSchema-instance" xsi:type="dcterms:W3CDTF">2026-05-25T18:39:53Z</dcterms:modified>
  <cp:lastModifiedBy>Filisina Matteo</cp:lastModifiedBy>
</cp:coreProperties>
</file>