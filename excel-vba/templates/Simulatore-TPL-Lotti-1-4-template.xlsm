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omments/comment1.xml" ContentType="application/vnd.openxmlformats-officedocument.spreadsheetml.comments+xml"/>
  <Override PartName="/xl/tables/table1.xml" ContentType="application/vnd.openxmlformats-officedocument.spreadsheetml.table+xml"/>
  <Override PartName="/xl/worksheets/sheet4.xml" ContentType="application/vnd.openxmlformats-officedocument.spreadsheetml.worksheet+xml"/>
  <Override PartName="/xl/tables/table2.xml" ContentType="application/vnd.openxmlformats-officedocument.spreadsheetml.table+xml"/>
  <Override PartName="/xl/worksheets/sheet5.xml" ContentType="application/vnd.openxmlformats-officedocument.spreadsheetml.worksheet+xml"/>
  <Override PartName="/xl/tables/table3.xml" ContentType="application/vnd.openxmlformats-officedocument.spreadsheetml.table+xml"/>
  <Override PartName="/xl/worksheets/sheet6.xml" ContentType="application/vnd.openxmlformats-officedocument.spreadsheetml.worksheet+xml"/>
  <Override PartName="/xl/tables/table4.xml" ContentType="application/vnd.openxmlformats-officedocument.spreadsheetml.table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ables/table5.xml" ContentType="application/vnd.openxmlformats-officedocument.spreadsheetml.table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Questa_cartella_di_lavoro"/>
  <bookViews>
    <workbookView visibility="visible" minimized="0" showHorizontalScroll="1" showVerticalScroll="1" showSheetTabs="1" xWindow="0" yWindow="600" windowWidth="28800" windowHeight="16120" tabRatio="600" firstSheet="0" activeTab="0" autoFilterDateGrouping="1"/>
  </bookViews>
  <sheets>
    <sheet xmlns:r="http://schemas.openxmlformats.org/officeDocument/2006/relationships" name="Dashboard" sheetId="1" state="visible" r:id="rId1"/>
    <sheet xmlns:r="http://schemas.openxmlformats.org/officeDocument/2006/relationships" name="Istruzioni" sheetId="2" state="visible" r:id="rId2"/>
    <sheet xmlns:r="http://schemas.openxmlformats.org/officeDocument/2006/relationships" name="Parametri" sheetId="3" state="visible" r:id="rId3"/>
    <sheet xmlns:r="http://schemas.openxmlformats.org/officeDocument/2006/relationships" name="Ottimizzazione" sheetId="4" state="visible" r:id="rId4"/>
    <sheet xmlns:r="http://schemas.openxmlformats.org/officeDocument/2006/relationships" name="Offerte" sheetId="5" state="visible" r:id="rId5"/>
    <sheet xmlns:r="http://schemas.openxmlformats.org/officeDocument/2006/relationships" name="Combinatorie" sheetId="6" state="visible" r:id="rId6"/>
    <sheet xmlns:r="http://schemas.openxmlformats.org/officeDocument/2006/relationships" name="ScenarioGlobale" sheetId="7" state="visible" r:id="rId7"/>
    <sheet xmlns:r="http://schemas.openxmlformats.org/officeDocument/2006/relationships" name="Risultati" sheetId="8" state="visible" r:id="rId8"/>
    <sheet xmlns:r="http://schemas.openxmlformats.org/officeDocument/2006/relationships" name="ConfrontoWeb" sheetId="9" state="visible" r:id="rId9"/>
    <sheet xmlns:r="http://schemas.openxmlformats.org/officeDocument/2006/relationships" name="LogOttimizzazione" sheetId="10" state="visible" r:id="rId10"/>
    <sheet xmlns:r="http://schemas.openxmlformats.org/officeDocument/2006/relationships" name="Guida" sheetId="11" state="visible" r:id="rId11"/>
    <sheet xmlns:r="http://schemas.openxmlformats.org/officeDocument/2006/relationships" name="Glossario" sheetId="12" state="visible" r:id="rId12"/>
  </sheets>
  <definedNames/>
  <calcPr calcId="0" calcMode="auto" fullCalcOnLoad="1" forceFullCalc="1"/>
</workbook>
</file>

<file path=xl/styles.xml><?xml version="1.0" encoding="utf-8"?>
<styleSheet xmlns="http://schemas.openxmlformats.org/spreadsheetml/2006/main">
  <numFmts count="0"/>
  <fonts count="18">
    <font>
      <name val="Calibri"/>
      <family val="2"/>
      <color theme="1"/>
      <sz val="11"/>
      <scheme val="minor"/>
    </font>
    <font>
      <name val="Calibri"/>
      <family val="2"/>
      <b val="1"/>
      <sz val="14"/>
    </font>
    <font>
      <name val="Calibri"/>
      <family val="2"/>
      <b val="1"/>
      <sz val="11"/>
    </font>
    <font>
      <name val="Calibri"/>
      <family val="2"/>
      <b val="1"/>
      <color rgb="FFFFFFFF"/>
      <sz val="11"/>
    </font>
    <font>
      <b val="1"/>
      <color rgb="00FFFFFF"/>
      <sz val="18"/>
    </font>
    <font>
      <color rgb="006B7280"/>
      <sz val="11"/>
    </font>
    <font>
      <b val="1"/>
      <color rgb="00FFFFFF"/>
      <sz val="12"/>
    </font>
    <font>
      <b val="1"/>
      <color rgb="001F2937"/>
    </font>
    <font>
      <color rgb="001F2937"/>
    </font>
    <font>
      <b val="1"/>
      <color rgb="00FFFFFF"/>
    </font>
    <font>
      <name val="Calibri"/>
      <family val="2"/>
      <color theme="10"/>
      <sz val="12"/>
      <scheme val="minor"/>
    </font>
    <font>
      <b val="1"/>
      <color rgb="002563EB"/>
      <u val="single"/>
    </font>
    <font>
      <b val="1"/>
      <color rgb="001F4E78"/>
      <sz val="12"/>
    </font>
    <font>
      <color rgb="001F2937"/>
      <sz val="10"/>
    </font>
    <font>
      <b val="1"/>
    </font>
    <font>
      <b val="1"/>
      <color rgb="001F2937"/>
      <sz val="10"/>
    </font>
    <font>
      <b val="1"/>
      <color rgb="001F4E78"/>
      <sz val="16"/>
    </font>
    <font>
      <color rgb="006B7280"/>
      <sz val="9"/>
    </font>
  </fonts>
  <fills count="12">
    <fill>
      <patternFill/>
    </fill>
    <fill>
      <patternFill patternType="gray125"/>
    </fill>
    <fill>
      <patternFill patternType="solid">
        <fgColor rgb="FF1F4E78"/>
        <bgColor rgb="FF1F4E78"/>
      </patternFill>
    </fill>
    <fill>
      <patternFill patternType="solid">
        <fgColor rgb="001F4E78"/>
        <bgColor rgb="001F4E78"/>
      </patternFill>
    </fill>
    <fill>
      <patternFill patternType="solid">
        <fgColor rgb="002563EB"/>
        <bgColor rgb="002563EB"/>
      </patternFill>
    </fill>
    <fill>
      <patternFill patternType="solid">
        <fgColor rgb="00DCEBFF"/>
        <bgColor rgb="00DCEBFF"/>
      </patternFill>
    </fill>
    <fill>
      <patternFill patternType="solid">
        <fgColor rgb="00FFFFFF"/>
        <bgColor rgb="00FFFFFF"/>
      </patternFill>
    </fill>
    <fill>
      <patternFill patternType="solid">
        <fgColor rgb="00E8EEF8"/>
        <bgColor rgb="00E8EEF8"/>
      </patternFill>
    </fill>
    <fill>
      <patternFill patternType="solid">
        <fgColor rgb="00D9EAD3"/>
        <bgColor rgb="00D9EAD3"/>
      </patternFill>
    </fill>
    <fill>
      <patternFill patternType="solid">
        <fgColor rgb="00FFF2CC"/>
        <bgColor rgb="00FFF2CC"/>
      </patternFill>
    </fill>
    <fill>
      <patternFill patternType="solid">
        <fgColor rgb="00FFF8CC"/>
        <bgColor rgb="00FFF8CC"/>
      </patternFill>
    </fill>
    <fill>
      <patternFill patternType="solid">
        <fgColor rgb="00EAF7EA"/>
        <bgColor rgb="00EAF7EA"/>
      </patternFill>
    </fill>
  </fills>
  <borders count="11">
    <border>
      <left/>
      <right/>
      <top/>
      <bottom/>
      <diagonal/>
    </border>
    <border>
      <left style="thin">
        <color rgb="00D9E2F3"/>
      </left>
      <right style="thin">
        <color rgb="00D9E2F3"/>
      </right>
      <top style="thin">
        <color rgb="00D9E2F3"/>
      </top>
      <bottom style="thin">
        <color rgb="00D9E2F3"/>
      </bottom>
    </border>
    <border>
      <left/>
      <right/>
      <top style="thin">
        <color rgb="00D9E2F3"/>
      </top>
      <bottom/>
      <diagonal/>
    </border>
    <border>
      <left/>
      <right style="thin">
        <color rgb="00D9E2F3"/>
      </right>
      <top style="thin">
        <color rgb="00D9E2F3"/>
      </top>
      <bottom/>
      <diagonal/>
    </border>
    <border>
      <left/>
      <right/>
      <top style="thin">
        <color rgb="00D9E2F3"/>
      </top>
      <bottom style="thin">
        <color rgb="00D9E2F3"/>
      </bottom>
      <diagonal/>
    </border>
    <border>
      <left/>
      <right style="thin">
        <color rgb="00D9E2F3"/>
      </right>
      <top style="thin">
        <color rgb="00D9E2F3"/>
      </top>
      <bottom style="thin">
        <color rgb="00D9E2F3"/>
      </bottom>
      <diagonal/>
    </border>
    <border>
      <left style="thin">
        <color rgb="00D9E2F3"/>
      </left>
      <right/>
      <top/>
      <bottom/>
      <diagonal/>
    </border>
    <border>
      <left/>
      <right style="thin">
        <color rgb="00D9E2F3"/>
      </right>
      <top/>
      <bottom/>
      <diagonal/>
    </border>
    <border>
      <left style="thin">
        <color rgb="00D9E2F3"/>
      </left>
      <right/>
      <top/>
      <bottom style="thin">
        <color rgb="00D9E2F3"/>
      </bottom>
      <diagonal/>
    </border>
    <border>
      <left/>
      <right style="thin">
        <color rgb="00D9E2F3"/>
      </right>
      <top/>
      <bottom style="thin">
        <color rgb="00D9E2F3"/>
      </bottom>
      <diagonal/>
    </border>
    <border>
      <left/>
      <right/>
      <top/>
      <bottom style="thin">
        <color rgb="00D9E2F3"/>
      </bottom>
      <diagonal/>
    </border>
  </borders>
  <cellStyleXfs count="2">
    <xf numFmtId="0" fontId="0" fillId="0" borderId="0"/>
    <xf numFmtId="0" fontId="10" fillId="0" borderId="0"/>
  </cellStyleXfs>
  <cellXfs count="29">
    <xf numFmtId="0" fontId="0" fillId="0" borderId="0" pivotButton="0" quotePrefix="0" xfId="0"/>
    <xf numFmtId="0" fontId="1" fillId="0" borderId="0" pivotButton="0" quotePrefix="0" xfId="0"/>
    <xf numFmtId="0" fontId="2" fillId="0" borderId="0" pivotButton="0" quotePrefix="0" xfId="0"/>
    <xf numFmtId="0" fontId="3" fillId="2" borderId="0" applyAlignment="1" pivotButton="0" quotePrefix="0" xfId="0">
      <alignment horizontal="center"/>
    </xf>
    <xf numFmtId="0" fontId="4" fillId="3" borderId="0" applyAlignment="1" pivotButton="0" quotePrefix="0" xfId="0">
      <alignment vertical="center"/>
    </xf>
    <xf numFmtId="0" fontId="5" fillId="0" borderId="0" applyAlignment="1" pivotButton="0" quotePrefix="0" xfId="0">
      <alignment wrapText="1"/>
    </xf>
    <xf numFmtId="0" fontId="6" fillId="4" borderId="0" applyAlignment="1" pivotButton="0" quotePrefix="0" xfId="0">
      <alignment vertical="center"/>
    </xf>
    <xf numFmtId="0" fontId="7" fillId="5" borderId="1" applyAlignment="1" pivotButton="0" quotePrefix="0" xfId="0">
      <alignment horizontal="center" vertical="center" wrapText="1"/>
    </xf>
    <xf numFmtId="0" fontId="9" fillId="3" borderId="1" applyAlignment="1" pivotButton="0" quotePrefix="0" xfId="0">
      <alignment horizontal="center"/>
    </xf>
    <xf numFmtId="0" fontId="7" fillId="7" borderId="1" applyAlignment="1" pivotButton="0" quotePrefix="0" xfId="0">
      <alignment vertical="top" wrapText="1"/>
    </xf>
    <xf numFmtId="0" fontId="8" fillId="6" borderId="1" applyAlignment="1" pivotButton="0" quotePrefix="0" xfId="0">
      <alignment vertical="top" wrapText="1"/>
    </xf>
    <xf numFmtId="0" fontId="11" fillId="0" borderId="0" pivotButton="0" quotePrefix="0" xfId="1"/>
    <xf numFmtId="0" fontId="7" fillId="8" borderId="1" applyAlignment="1" pivotButton="0" quotePrefix="0" xfId="0">
      <alignment vertical="top" wrapText="1"/>
    </xf>
    <xf numFmtId="0" fontId="0" fillId="9" borderId="1" applyAlignment="1" pivotButton="0" quotePrefix="0" xfId="0">
      <alignment wrapText="1"/>
    </xf>
    <xf numFmtId="0" fontId="0" fillId="6" borderId="1" applyAlignment="1" pivotButton="0" quotePrefix="0" xfId="0">
      <alignment wrapText="1"/>
    </xf>
    <xf numFmtId="0" fontId="9" fillId="3" borderId="1" applyAlignment="1" pivotButton="0" quotePrefix="0" xfId="0">
      <alignment vertical="top" wrapText="1"/>
    </xf>
    <xf numFmtId="0" fontId="14" fillId="7" borderId="1" applyAlignment="1" pivotButton="0" quotePrefix="0" xfId="0">
      <alignment vertical="top" wrapText="1"/>
    </xf>
    <xf numFmtId="0" fontId="0" fillId="9" borderId="1" applyAlignment="1" pivotButton="0" quotePrefix="0" xfId="0">
      <alignment vertical="top" wrapText="1"/>
    </xf>
    <xf numFmtId="0" fontId="9" fillId="3" borderId="1" applyAlignment="1" pivotButton="0" quotePrefix="0" xfId="0">
      <alignment horizontal="center" vertical="center" wrapText="1"/>
    </xf>
    <xf numFmtId="0" fontId="7" fillId="10" borderId="1" applyAlignment="1" pivotButton="0" quotePrefix="0" xfId="0">
      <alignment vertical="top" wrapText="1"/>
    </xf>
    <xf numFmtId="0" fontId="8" fillId="10" borderId="1" applyAlignment="1" pivotButton="0" quotePrefix="0" xfId="0">
      <alignment vertical="top" wrapText="1"/>
    </xf>
    <xf numFmtId="0" fontId="8" fillId="11" borderId="1" applyAlignment="1" pivotButton="0" quotePrefix="0" xfId="0">
      <alignment vertical="top" wrapText="1"/>
    </xf>
    <xf numFmtId="0" fontId="0" fillId="0" borderId="1" applyAlignment="1" pivotButton="0" quotePrefix="0" xfId="0">
      <alignment vertical="top" wrapText="1"/>
    </xf>
    <xf numFmtId="0" fontId="12" fillId="7" borderId="0" applyAlignment="1" pivotButton="0" quotePrefix="0" xfId="0">
      <alignment vertical="top" wrapText="1"/>
    </xf>
    <xf numFmtId="0" fontId="13" fillId="0" borderId="0" applyAlignment="1" pivotButton="0" quotePrefix="0" xfId="0">
      <alignment vertical="top" wrapText="1"/>
    </xf>
    <xf numFmtId="0" fontId="15" fillId="5" borderId="1" applyAlignment="1" pivotButton="0" quotePrefix="0" xfId="0">
      <alignment horizontal="center" vertical="center" wrapText="1"/>
    </xf>
    <xf numFmtId="0" fontId="16" fillId="5" borderId="1" applyAlignment="1" pivotButton="0" quotePrefix="0" xfId="0">
      <alignment horizontal="center" vertical="center" wrapText="1"/>
    </xf>
    <xf numFmtId="0" fontId="17" fillId="5" borderId="1" applyAlignment="1" pivotButton="0" quotePrefix="0" xfId="0">
      <alignment horizontal="center" vertical="center" wrapText="1"/>
    </xf>
    <xf numFmtId="0" fontId="0" fillId="6" borderId="1" applyAlignment="1" pivotButton="0" quotePrefix="0" xfId="0">
      <alignment vertical="top" wrapText="1"/>
    </xf>
  </cellXfs>
  <cellStyles count="2">
    <cellStyle name="Normale" xfId="0" builtinId="0"/>
    <cellStyle name="Hyperlink" xfId="1" builtinId="8" hidden="0"/>
  </cellStyles>
  <dxfs count="3">
    <dxf>
      <fill>
        <patternFill patternType="solid">
          <fgColor rgb="00FCE4D6"/>
          <bgColor rgb="00FCE4D6"/>
        </patternFill>
      </fill>
    </dxf>
    <dxf>
      <fill>
        <patternFill patternType="solid">
          <fgColor rgb="00FFF2CC"/>
          <bgColor rgb="00FFF2CC"/>
        </patternFill>
      </fill>
    </dxf>
    <dxf>
      <fill>
        <patternFill patternType="solid">
          <fgColor rgb="00D9EAD3"/>
          <bgColor rgb="00D9EAD3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styles" Target="styles.xml" Id="rId13"/><Relationship Type="http://schemas.openxmlformats.org/officeDocument/2006/relationships/theme" Target="theme/theme1.xml" Id="rId14"/><Relationship Type="http://schemas.microsoft.com/office/2006/relationships/vbaProject" Target="vbaProject.bin" Id="rId15"/></Relationships>
</file>

<file path=xl/comments/comment1.xml><?xml version="1.0" encoding="utf-8"?>
<comments xmlns="http://schemas.openxmlformats.org/spreadsheetml/2006/main">
  <authors>
    <author>Codex</author>
  </authors>
  <commentList>
    <comment ref="B2" authorId="0" shapeId="0">
      <text>
        <t>Valore fra 0 e 70. Usato da tutte le macro di ammissibilità.</t>
      </text>
    </comment>
    <comment ref="B3" authorId="0" shapeId="0">
      <text>
        <t>Lotto attivo per OttimizzaLottoAttivo.</t>
      </text>
    </comment>
  </commentList>
</comments>
</file>

<file path=xl/tables/table1.xml><?xml version="1.0" encoding="utf-8"?>
<table xmlns="http://schemas.openxmlformats.org/spreadsheetml/2006/main" id="1" name="tblParametri" displayName="tblParametri" ref="A1:C5" headerRowCount="1">
  <autoFilter ref="A1:C5"/>
  <tableColumns count="3">
    <tableColumn id="1" name="Parametro"/>
    <tableColumn id="2" name="Valore"/>
    <tableColumn id="3" name="Not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tblOttimizzazione" displayName="tblOttimizzazione" ref="A1:C9" headerRowCount="1">
  <autoFilter ref="A1:C9"/>
  <tableColumns count="3">
    <tableColumn id="1" name="Parametro"/>
    <tableColumn id="2" name="Valore"/>
    <tableColumn id="3" name="Descrizion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3" name="tblOfferte" displayName="tblOfferte" ref="A1:M200" headerRowCount="1">
  <autoFilter ref="A1:M200"/>
  <tableColumns count="13">
    <tableColumn id="1" name="BidderId"/>
    <tableColumn id="2" name="BidderNome"/>
    <tableColumn id="3" name="Lotto"/>
    <tableColumn id="4" name="Attivo"/>
    <tableColumn id="5" name="PunteggioTecnicoRaw"/>
    <tableColumn id="6" name="RibassoMedioPercento"/>
    <tableColumn id="7" name="AmmessoFormula"/>
    <tableColumn id="8" name="RMaxAmmessi"/>
    <tableColumn id="9" name="EconomicoFormula"/>
    <tableColumn id="10" name="TotaleFormula"/>
    <tableColumn id="11" name="Warning"/>
    <tableColumn id="12" name="ChiaveOfferta"/>
    <tableColumn id="13" name="ChiaveLottoTotale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4" name="tblCombinatorie" displayName="tblCombinatorie" ref="A4:W80" headerRowCount="1">
  <autoFilter ref="A4:W80"/>
  <tableColumns count="23">
    <tableColumn id="1" name="BidderId"/>
    <tableColumn id="2" name="BidderNome"/>
    <tableColumn id="3" name="Coppia"/>
    <tableColumn id="4" name="Attivo"/>
    <tableColumn id="5" name="RibassoCombinatoria"/>
    <tableColumn id="6" name="InseritoBuste"/>
    <tableColumn id="7" name="PEFCoerente"/>
    <tableColumn id="8" name="LottoA"/>
    <tableColumn id="9" name="LottoB"/>
    <tableColumn id="10" name="AttivoA"/>
    <tableColumn id="11" name="AttivoB"/>
    <tableColumn id="12" name="TecnicoA"/>
    <tableColumn id="13" name="TecnicoB"/>
    <tableColumn id="14" name="Ammissibile"/>
    <tableColumn id="15" name="EconomicoA"/>
    <tableColumn id="16" name="EconomicoB"/>
    <tableColumn id="17" name="TotaleCoppia"/>
    <tableColumn id="18" name="Note"/>
    <tableColumn id="19" name="RibassoSingoloA"/>
    <tableColumn id="20" name="RibassoSingoloB"/>
    <tableColumn id="21" name="RibassoMinimoIndicativo"/>
    <tableColumn id="22" name="ChiaveCoppiaTotale"/>
    <tableColumn id="23" name="ChiaveCoppiaBidder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5" name="tblConfrontoWeb" displayName="tblConfrontoWeb" ref="A1:J8" headerRowCount="1">
  <autoFilter ref="A1:J8"/>
  <tableColumns count="10">
    <tableColumn id="1" name="Caso"/>
    <tableColumn id="2" name="Scenario"/>
    <tableColumn id="3" name="LotId"/>
    <tableColumn id="4" name="ExpectedTotal"/>
    <tableColumn id="5" name="Tolerance"/>
    <tableColumn id="6" name="WebSource"/>
    <tableColumn id="7" name="VerifiedAt"/>
    <tableColumn id="8" name="Note"/>
    <tableColumn id="9" name="Input expected"/>
    <tableColumn id="10" name="Valor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hyperlink" Target="#'Parametri'!A1" TargetMode="External" Id="rId1"/><Relationship Type="http://schemas.openxmlformats.org/officeDocument/2006/relationships/hyperlink" Target="#'Offerte'!A1" TargetMode="External" Id="rId2"/><Relationship Type="http://schemas.openxmlformats.org/officeDocument/2006/relationships/hyperlink" Target="#'Combinatorie'!A1" TargetMode="External" Id="rId3"/><Relationship Type="http://schemas.openxmlformats.org/officeDocument/2006/relationships/hyperlink" Target="#'ScenarioGlobale'!A1" TargetMode="External" Id="rId4"/><Relationship Type="http://schemas.openxmlformats.org/officeDocument/2006/relationships/hyperlink" Target="#'Guida'!A1" TargetMode="External" Id="rId5"/><Relationship Type="http://schemas.openxmlformats.org/officeDocument/2006/relationships/hyperlink" Target="#'Glossario'!A1" TargetMode="External" Id="rId6"/><Relationship Type="http://schemas.openxmlformats.org/officeDocument/2006/relationships/hyperlink" Target="#'Risultati'!A1" TargetMode="External" Id="rId7"/><Relationship Type="http://schemas.openxmlformats.org/officeDocument/2006/relationships/hyperlink" Target="#'ConfrontoWeb'!A1" TargetMode="External" Id="rId8"/><Relationship Type="http://schemas.openxmlformats.org/officeDocument/2006/relationships/hyperlink" Target="#'LogOttimizzazione'!A1" TargetMode="External" Id="rId9"/></Relationships>
</file>

<file path=xl/worksheets/_rels/sheet3.xml.rels><Relationships xmlns="http://schemas.openxmlformats.org/package/2006/relationships"><Relationship Type="http://schemas.openxmlformats.org/officeDocument/2006/relationships/table" Target="/xl/tables/table1.xml" Id="rId1"/><Relationship Type="http://schemas.openxmlformats.org/officeDocument/2006/relationships/comments" Target="/xl/comments/comment1.xml" Id="comments"/><Relationship Type="http://schemas.openxmlformats.org/officeDocument/2006/relationships/vmlDrawing" Target="/xl/drawings/commentsDrawing1.vml" Id="anysvml"/></Relationships>
</file>

<file path=xl/worksheets/_rels/sheet4.xml.rels><Relationships xmlns="http://schemas.openxmlformats.org/package/2006/relationships"><Relationship Type="http://schemas.openxmlformats.org/officeDocument/2006/relationships/table" Target="/xl/tables/table2.xml" Id="rId1"/></Relationships>
</file>

<file path=xl/worksheets/_rels/sheet5.xml.rels><Relationships xmlns="http://schemas.openxmlformats.org/package/2006/relationships"><Relationship Type="http://schemas.openxmlformats.org/officeDocument/2006/relationships/table" Target="/xl/tables/table3.xml" Id="rId1"/></Relationships>
</file>

<file path=xl/worksheets/_rels/sheet6.xml.rels><Relationships xmlns="http://schemas.openxmlformats.org/package/2006/relationships"><Relationship Type="http://schemas.openxmlformats.org/officeDocument/2006/relationships/table" Target="/xl/tables/table4.xml" Id="rId1"/></Relationships>
</file>

<file path=xl/worksheets/_rels/sheet9.xml.rels><Relationships xmlns="http://schemas.openxmlformats.org/package/2006/relationships"><Relationship Type="http://schemas.openxmlformats.org/officeDocument/2006/relationships/table" Target="/xl/tables/table5.xml" Id="rId1"/></Relationships>
</file>

<file path=xl/worksheets/sheet1.xml><?xml version="1.0" encoding="utf-8"?>
<worksheet xmlns="http://schemas.openxmlformats.org/spreadsheetml/2006/main">
  <sheetPr>
    <tabColor rgb="001F4E78"/>
    <outlinePr summaryBelow="1" summaryRight="1"/>
    <pageSetUpPr fitToPage="1"/>
  </sheetPr>
  <dimension ref="A1:H32"/>
  <sheetViews>
    <sheetView showGridLines="0" tabSelected="1" workbookViewId="0">
      <pane ySplit="3" topLeftCell="A4" activePane="bottomLeft" state="frozen"/>
      <selection pane="bottomLeft" activeCell="A1" sqref="A1"/>
    </sheetView>
  </sheetViews>
  <sheetFormatPr baseColWidth="8" defaultRowHeight="15"/>
  <cols>
    <col width="14" customWidth="1" min="1" max="1"/>
    <col width="22" customWidth="1" min="2" max="2"/>
    <col width="18" customWidth="1" min="3" max="3"/>
    <col width="18" customWidth="1" min="4" max="4"/>
    <col width="18" customWidth="1" min="5" max="5"/>
    <col width="18" customWidth="1" min="6" max="6"/>
    <col width="18" customWidth="1" min="7" max="7"/>
    <col width="18" customWidth="1" min="8" max="8"/>
  </cols>
  <sheetData>
    <row r="1" ht="28" customHeight="1">
      <c r="A1" s="4" t="inlineStr">
        <is>
          <t>Simulatore gara TPL lotti 1-4</t>
        </is>
      </c>
    </row>
    <row r="2">
      <c r="A2" s="5" t="inlineStr">
        <is>
          <t>Console Excel in modalità light: compila le offerte, esegui le macro e usa il web per i controlli avanzati.</t>
        </is>
      </c>
    </row>
    <row r="4" ht="22" customHeight="1">
      <c r="A4" s="6" t="inlineStr">
        <is>
          <t>Stato rapido</t>
        </is>
      </c>
    </row>
    <row r="5" ht="24" customHeight="1">
      <c r="A5" s="25" t="inlineStr">
        <is>
          <t>Righe offerte</t>
        </is>
      </c>
      <c r="C5" s="25" t="inlineStr">
        <is>
          <t>Offerte attive</t>
        </is>
      </c>
      <c r="E5" s="25" t="inlineStr">
        <is>
          <t>Lotto attivo</t>
        </is>
      </c>
      <c r="G5" s="25" t="inlineStr">
        <is>
          <t>Soglia tecnica</t>
        </is>
      </c>
    </row>
    <row r="6" ht="24" customHeight="1">
      <c r="A6" s="26">
        <f>COUNTA(Offerte!A2:A200)</f>
        <v/>
      </c>
      <c r="C6" s="26">
        <f>COUNTIF(Offerte!D2:D200,"1")+COUNTIF(Offerte!D2:D200,1)</f>
        <v/>
      </c>
      <c r="E6" s="26">
        <f>Parametri!B3</f>
        <v/>
      </c>
      <c r="G6" s="26">
        <f>Parametri!B2</f>
        <v/>
      </c>
    </row>
    <row r="7" ht="24" customHeight="1">
      <c r="A7" s="27" t="inlineStr">
        <is>
          <t>Righe compilate in Offerte</t>
        </is>
      </c>
      <c r="C7" s="27" t="inlineStr">
        <is>
          <t>Righe abilitate</t>
        </is>
      </c>
      <c r="E7" s="27" t="inlineStr">
        <is>
          <t>Usato da ottimizzazione</t>
        </is>
      </c>
      <c r="G7" s="27" t="inlineStr">
        <is>
          <t>Minimo ammissibilità</t>
        </is>
      </c>
    </row>
    <row r="10" ht="22" customHeight="1">
      <c r="A10" s="6" t="inlineStr">
        <is>
          <t>Flusso operativo</t>
        </is>
      </c>
    </row>
    <row r="11">
      <c r="A11" s="8" t="inlineStr">
        <is>
          <t>1</t>
        </is>
      </c>
      <c r="B11" s="9" t="inlineStr">
        <is>
          <t>Controlla Parametri</t>
        </is>
      </c>
      <c r="C11" s="10" t="inlineStr">
        <is>
          <t>Soglia tecnica e lotto attivo.</t>
        </is>
      </c>
      <c r="D11" s="10" t="n"/>
      <c r="E11" s="10" t="n"/>
      <c r="F11" s="10" t="n"/>
      <c r="G11" s="10" t="n"/>
      <c r="H11" s="10" t="n"/>
    </row>
    <row r="12">
      <c r="A12" s="8" t="inlineStr">
        <is>
          <t>2</t>
        </is>
      </c>
      <c r="B12" s="9" t="inlineStr">
        <is>
          <t>Compila Offerte</t>
        </is>
      </c>
      <c r="C12" s="10" t="inlineStr">
        <is>
          <t>Una riga per concorrente e lotto.</t>
        </is>
      </c>
      <c r="D12" s="10" t="n"/>
      <c r="E12" s="10" t="n"/>
      <c r="F12" s="10" t="n"/>
      <c r="G12" s="10" t="n"/>
      <c r="H12" s="10" t="n"/>
    </row>
    <row r="13">
      <c r="A13" s="8" t="inlineStr">
        <is>
          <t>3</t>
        </is>
      </c>
      <c r="B13" s="9" t="inlineStr">
        <is>
          <t>Esegui SimulaScenario</t>
        </is>
      </c>
      <c r="C13" s="10" t="inlineStr">
        <is>
          <t>Popola risultati, combinatorie e vincitori.</t>
        </is>
      </c>
      <c r="D13" s="10" t="n"/>
      <c r="E13" s="10" t="n"/>
      <c r="F13" s="10" t="n"/>
      <c r="G13" s="10" t="n"/>
      <c r="H13" s="10" t="n"/>
    </row>
    <row r="14">
      <c r="A14" s="8" t="inlineStr">
        <is>
          <t>4</t>
        </is>
      </c>
      <c r="B14" s="9" t="inlineStr">
        <is>
          <t>Rifinisci con OttimizzaLottoAttivo</t>
        </is>
      </c>
      <c r="C14" s="10" t="inlineStr">
        <is>
          <t>Usa leve Q/T sul concorrente selezionato.</t>
        </is>
      </c>
      <c r="D14" s="10" t="n"/>
      <c r="E14" s="10" t="n"/>
      <c r="F14" s="10" t="n"/>
      <c r="G14" s="10" t="n"/>
      <c r="H14" s="10" t="n"/>
    </row>
    <row r="15">
      <c r="A15" s="8" t="inlineStr">
        <is>
          <t>5</t>
        </is>
      </c>
      <c r="B15" s="9" t="inlineStr">
        <is>
          <t>Confronta con web</t>
        </is>
      </c>
      <c r="C15" s="10" t="inlineStr">
        <is>
          <t>Incolla expected in ConfrontoWeb!J2:J5.</t>
        </is>
      </c>
      <c r="D15" s="10" t="n"/>
      <c r="E15" s="10" t="n"/>
      <c r="F15" s="10" t="n"/>
      <c r="G15" s="10" t="n"/>
      <c r="H15" s="10" t="n"/>
    </row>
    <row r="18" ht="22" customHeight="1">
      <c r="A18" s="6" t="inlineStr">
        <is>
          <t>Navigazione e macro</t>
        </is>
      </c>
    </row>
    <row r="19">
      <c r="A19" s="11" t="inlineStr">
        <is>
          <t>Parametri</t>
        </is>
      </c>
      <c r="C19" s="11" t="inlineStr">
        <is>
          <t>Offerte</t>
        </is>
      </c>
      <c r="E19" s="11" t="inlineStr">
        <is>
          <t>Combinatorie</t>
        </is>
      </c>
      <c r="G19" s="11" t="inlineStr">
        <is>
          <t>Scenario globale</t>
        </is>
      </c>
    </row>
    <row r="21">
      <c r="A21" s="11" t="inlineStr">
        <is>
          <t>Guida</t>
        </is>
      </c>
      <c r="C21" s="11" t="inlineStr">
        <is>
          <t>Glossario</t>
        </is>
      </c>
      <c r="E21" s="11" t="inlineStr">
        <is>
          <t>Risultati</t>
        </is>
      </c>
      <c r="G21" s="11" t="inlineStr">
        <is>
          <t>Confronto web</t>
        </is>
      </c>
    </row>
    <row r="22">
      <c r="A22" s="11" t="inlineStr">
        <is>
          <t>Log ottimizzazione</t>
        </is>
      </c>
    </row>
    <row r="23">
      <c r="A23" s="12" t="inlineStr">
        <is>
          <t>CheckBeforeRun</t>
        </is>
      </c>
      <c r="B23" s="10" t="n"/>
      <c r="C23" s="10" t="inlineStr">
        <is>
          <t>Controlla setup e dati prima di simulare.</t>
        </is>
      </c>
      <c r="D23" s="10" t="n"/>
      <c r="E23" s="10" t="n"/>
      <c r="F23" s="10" t="n"/>
      <c r="G23" s="10" t="n"/>
      <c r="H23" s="10" t="n"/>
    </row>
    <row r="24">
      <c r="A24" s="12" t="inlineStr">
        <is>
          <t>SimulaScenario</t>
        </is>
      </c>
      <c r="B24" s="10" t="n"/>
      <c r="C24" s="10" t="inlineStr">
        <is>
          <t>Calcola punteggi, combinatorie e vincitori.</t>
        </is>
      </c>
      <c r="D24" s="10" t="n"/>
      <c r="E24" s="10" t="n"/>
      <c r="F24" s="10" t="n"/>
      <c r="G24" s="10" t="n"/>
      <c r="H24" s="10" t="n"/>
    </row>
    <row r="25">
      <c r="A25" s="12" t="inlineStr">
        <is>
          <t>OttimizzaLottoAttivo</t>
        </is>
      </c>
      <c r="B25" s="10" t="n"/>
      <c r="C25" s="10" t="inlineStr">
        <is>
          <t>Applica iterazioni Q/T al bidder indicato.</t>
        </is>
      </c>
      <c r="D25" s="10" t="n"/>
      <c r="E25" s="10" t="n"/>
      <c r="F25" s="10" t="n"/>
      <c r="G25" s="10" t="n"/>
      <c r="H25" s="10" t="n"/>
    </row>
    <row r="26">
      <c r="A26" s="12" t="inlineStr">
        <is>
          <t>ConfrontoWebGolden</t>
        </is>
      </c>
      <c r="B26" s="10" t="n"/>
      <c r="C26" s="10" t="inlineStr">
        <is>
          <t>Verifica i totali attesi copiati dal web.</t>
        </is>
      </c>
      <c r="D26" s="10" t="n"/>
      <c r="E26" s="10" t="n"/>
      <c r="F26" s="10" t="n"/>
      <c r="G26" s="10" t="n"/>
      <c r="H26" s="10" t="n"/>
    </row>
    <row r="29" ht="22" customHeight="1">
      <c r="A29" s="6" t="inlineStr">
        <is>
          <t>Limiti da ricordare</t>
        </is>
      </c>
    </row>
    <row r="30">
      <c r="A30" s="13" t="inlineStr">
        <is>
          <t>Excel resta in modalità light: il web conserva scoring completo, warning avanzati, persistenza e confronto scenari.</t>
        </is>
      </c>
    </row>
    <row r="31">
      <c r="A31" s="14" t="inlineStr">
        <is>
          <t>I costi e le leve sono ipotesi operative: non sono dati ufficiali di gara.</t>
        </is>
      </c>
    </row>
    <row r="32">
      <c r="A32" s="14" t="inlineStr">
        <is>
          <t>Se Excel blocca le macro dopo il download, sblocca il file dalle proprietà del sistema prima dell'uso.</t>
        </is>
      </c>
    </row>
  </sheetData>
  <mergeCells count="30">
    <mergeCell ref="C25:H25"/>
    <mergeCell ref="A30:H30"/>
    <mergeCell ref="C6:D6"/>
    <mergeCell ref="C5:D5"/>
    <mergeCell ref="E5:F5"/>
    <mergeCell ref="A1:H1"/>
    <mergeCell ref="C12:H12"/>
    <mergeCell ref="A6:B6"/>
    <mergeCell ref="C11:H11"/>
    <mergeCell ref="A7:B7"/>
    <mergeCell ref="G7:H7"/>
    <mergeCell ref="C23:H23"/>
    <mergeCell ref="G6:H6"/>
    <mergeCell ref="A18:H18"/>
    <mergeCell ref="E6:F6"/>
    <mergeCell ref="C13:H13"/>
    <mergeCell ref="A2:H2"/>
    <mergeCell ref="A5:B5"/>
    <mergeCell ref="G5:H5"/>
    <mergeCell ref="A32:H32"/>
    <mergeCell ref="C15:H15"/>
    <mergeCell ref="A4:H4"/>
    <mergeCell ref="C24:H24"/>
    <mergeCell ref="C7:D7"/>
    <mergeCell ref="A29:H29"/>
    <mergeCell ref="C14:H14"/>
    <mergeCell ref="E7:F7"/>
    <mergeCell ref="A10:H10"/>
    <mergeCell ref="C26:H26"/>
    <mergeCell ref="A31:H31"/>
  </mergeCells>
  <hyperlinks>
    <hyperlink xmlns:r="http://schemas.openxmlformats.org/officeDocument/2006/relationships" ref="A19" r:id="rId1"/>
    <hyperlink xmlns:r="http://schemas.openxmlformats.org/officeDocument/2006/relationships" ref="C19" r:id="rId2"/>
    <hyperlink xmlns:r="http://schemas.openxmlformats.org/officeDocument/2006/relationships" ref="E19" r:id="rId3"/>
    <hyperlink xmlns:r="http://schemas.openxmlformats.org/officeDocument/2006/relationships" ref="G19" r:id="rId4"/>
    <hyperlink xmlns:r="http://schemas.openxmlformats.org/officeDocument/2006/relationships" ref="A21" r:id="rId5"/>
    <hyperlink xmlns:r="http://schemas.openxmlformats.org/officeDocument/2006/relationships" ref="C21" r:id="rId6"/>
    <hyperlink xmlns:r="http://schemas.openxmlformats.org/officeDocument/2006/relationships" ref="E21" r:id="rId7"/>
    <hyperlink xmlns:r="http://schemas.openxmlformats.org/officeDocument/2006/relationships" ref="G21" r:id="rId8"/>
    <hyperlink xmlns:r="http://schemas.openxmlformats.org/officeDocument/2006/relationships" ref="A22" r:id="rId9"/>
  </hyperlinks>
  <pageMargins left="0.25" right="0.25" top="0.5" bottom="0.5" header="0.5" footer="0.5"/>
  <pageSetup fitToHeight="0" fitToWidth="1"/>
</worksheet>
</file>

<file path=xl/worksheets/sheet2.xml><?xml version="1.0" encoding="utf-8"?>
<worksheet xmlns="http://schemas.openxmlformats.org/spreadsheetml/2006/main">
  <sheetPr codeName="Foglio1">
    <tabColor rgb="005B9BD5"/>
    <outlinePr summaryBelow="1" summaryRight="1"/>
    <pageSetUpPr fitToPage="1"/>
  </sheetPr>
  <dimension ref="A1:H14"/>
  <sheetViews>
    <sheetView showGridLines="0" tabSelected="0" workbookViewId="0">
      <pane ySplit="3" topLeftCell="A4" activePane="bottomLeft" state="frozen"/>
      <selection pane="bottomLeft" activeCell="A1" sqref="A1"/>
    </sheetView>
  </sheetViews>
  <sheetFormatPr baseColWidth="10" defaultColWidth="8.83203125" defaultRowHeight="15"/>
  <cols>
    <col width="8" customWidth="1" min="1" max="1"/>
    <col width="20" customWidth="1" min="2" max="2"/>
    <col width="24" customWidth="1" min="3" max="3"/>
    <col width="16" customWidth="1" min="4" max="4"/>
    <col width="16" customWidth="1" min="5" max="5"/>
    <col width="16" customWidth="1" min="6" max="6"/>
    <col width="16" customWidth="1" min="7" max="7"/>
    <col width="16" customWidth="1" min="8" max="8"/>
  </cols>
  <sheetData>
    <row r="1" ht="28" customHeight="1">
      <c r="A1" s="4" t="inlineStr">
        <is>
          <t>Istruzioni rapide</t>
        </is>
      </c>
    </row>
    <row r="2">
      <c r="A2" s="5" t="inlineStr">
        <is>
          <t>Punto di partenza per usare il file senza leggere documenti esterni.</t>
        </is>
      </c>
    </row>
    <row r="4" ht="22" customHeight="1">
      <c r="A4" s="6" t="inlineStr">
        <is>
          <t>Percorso consigliato</t>
        </is>
      </c>
    </row>
    <row r="5">
      <c r="A5" s="15" t="inlineStr">
        <is>
          <t>1</t>
        </is>
      </c>
      <c r="B5" s="16" t="inlineStr">
        <is>
          <t>Dashboard</t>
        </is>
      </c>
      <c r="C5" s="10" t="inlineStr">
        <is>
          <t>Apri la dashboard per orientarti e passare ai fogli principali.</t>
        </is>
      </c>
      <c r="D5" s="10" t="n"/>
      <c r="E5" s="10" t="n"/>
      <c r="F5" s="10" t="n"/>
      <c r="G5" s="10" t="n"/>
      <c r="H5" s="10" t="n"/>
    </row>
    <row r="6">
      <c r="A6" s="15" t="inlineStr">
        <is>
          <t>2</t>
        </is>
      </c>
      <c r="B6" s="16" t="inlineStr">
        <is>
          <t>Parametri</t>
        </is>
      </c>
      <c r="C6" s="10" t="inlineStr">
        <is>
          <t>Imposta soglia tecnica e lotto attivo.</t>
        </is>
      </c>
      <c r="D6" s="10" t="n"/>
      <c r="E6" s="10" t="n"/>
      <c r="F6" s="10" t="n"/>
      <c r="G6" s="10" t="n"/>
      <c r="H6" s="10" t="n"/>
    </row>
    <row r="7">
      <c r="A7" s="15" t="inlineStr">
        <is>
          <t>3</t>
        </is>
      </c>
      <c r="B7" s="16" t="inlineStr">
        <is>
          <t>Offerte</t>
        </is>
      </c>
      <c r="C7" s="10" t="inlineStr">
        <is>
          <t>Compila concorrenti, lotti attivi, tecnico e ribasso.</t>
        </is>
      </c>
      <c r="D7" s="10" t="n"/>
      <c r="E7" s="10" t="n"/>
      <c r="F7" s="10" t="n"/>
      <c r="G7" s="10" t="n"/>
      <c r="H7" s="10" t="n"/>
    </row>
    <row r="8">
      <c r="A8" s="15" t="inlineStr">
        <is>
          <t>4</t>
        </is>
      </c>
      <c r="B8" s="16" t="inlineStr">
        <is>
          <t>Macro</t>
        </is>
      </c>
      <c r="C8" s="10" t="inlineStr">
        <is>
          <t>Esegui CheckBeforeRun, SimulaScenario e, se serve, OttimizzaLottoAttivo.</t>
        </is>
      </c>
      <c r="D8" s="10" t="n"/>
      <c r="E8" s="10" t="n"/>
      <c r="F8" s="10" t="n"/>
      <c r="G8" s="10" t="n"/>
      <c r="H8" s="10" t="n"/>
    </row>
    <row r="9">
      <c r="A9" s="15" t="inlineStr">
        <is>
          <t>5</t>
        </is>
      </c>
      <c r="B9" s="16" t="inlineStr">
        <is>
          <t>Confronto web</t>
        </is>
      </c>
      <c r="C9" s="10" t="inlineStr">
        <is>
          <t>Incolla i valori attesi in ConfrontoWeb!J2:J5 e lancia ConfrontoWebGolden.</t>
        </is>
      </c>
      <c r="D9" s="10" t="n"/>
      <c r="E9" s="10" t="n"/>
      <c r="F9" s="10" t="n"/>
      <c r="G9" s="10" t="n"/>
      <c r="H9" s="10" t="n"/>
    </row>
    <row r="12" ht="22" customHeight="1">
      <c r="A12" s="6" t="inlineStr">
        <is>
          <t>Avviso</t>
        </is>
      </c>
    </row>
    <row r="13">
      <c r="A13" s="17" t="inlineStr">
        <is>
          <t>Il workbook è un supporto offline in modalità light. Per analisi completa, warning documentali e confronto scenari salvati resta centrale la web app.</t>
        </is>
      </c>
    </row>
    <row r="14"/>
  </sheetData>
  <mergeCells count="10">
    <mergeCell ref="A12:H12"/>
    <mergeCell ref="A4:H4"/>
    <mergeCell ref="C6:H6"/>
    <mergeCell ref="A13:H14"/>
    <mergeCell ref="C5:H5"/>
    <mergeCell ref="A2:H2"/>
    <mergeCell ref="C9:H9"/>
    <mergeCell ref="C8:H8"/>
    <mergeCell ref="A1:H1"/>
    <mergeCell ref="C7:H7"/>
  </mergeCells>
  <pageMargins left="0.25" right="0.25" top="0.5" bottom="0.5" header="0.5" footer="0.5"/>
  <pageSetup fitToHeight="0" fitToWidth="1"/>
</worksheet>
</file>

<file path=xl/worksheets/sheet3.xml><?xml version="1.0" encoding="utf-8"?>
<worksheet xmlns="http://schemas.openxmlformats.org/spreadsheetml/2006/main">
  <sheetPr codeName="Foglio2">
    <tabColor rgb="00FFC000"/>
    <outlinePr summaryBelow="1" summaryRight="1"/>
    <pageSetUpPr fitToPage="1"/>
  </sheetPr>
  <dimension ref="A1:C5"/>
  <sheetViews>
    <sheetView showGridLines="0" tabSelected="0" workbookViewId="0">
      <pane ySplit="1" topLeftCell="A2" activePane="bottomLeft" state="frozen"/>
      <selection pane="bottomLeft" activeCell="A1" sqref="A1"/>
    </sheetView>
  </sheetViews>
  <sheetFormatPr baseColWidth="10" defaultColWidth="8.83203125" defaultRowHeight="15"/>
  <cols>
    <col width="24" customWidth="1" min="1" max="1"/>
    <col width="16" customWidth="1" min="2" max="2"/>
    <col width="60" customWidth="1" min="3" max="3"/>
  </cols>
  <sheetData>
    <row r="1" ht="24" customHeight="1">
      <c r="A1" s="18" t="inlineStr">
        <is>
          <t>Parametro</t>
        </is>
      </c>
      <c r="B1" s="18" t="inlineStr">
        <is>
          <t>Valore</t>
        </is>
      </c>
      <c r="C1" s="18" t="inlineStr">
        <is>
          <t>Note</t>
        </is>
      </c>
    </row>
    <row r="2">
      <c r="A2" s="10" t="inlineStr">
        <is>
          <t>SogliaTecnica</t>
        </is>
      </c>
      <c r="B2" s="19" t="n">
        <v>36</v>
      </c>
      <c r="C2" s="10" t="inlineStr">
        <is>
          <t>Soglia tecnica minima per ammissibilità (B2)</t>
        </is>
      </c>
    </row>
    <row r="3">
      <c r="A3" s="10" t="inlineStr">
        <is>
          <t>LottoAttivo</t>
        </is>
      </c>
      <c r="B3" s="19" t="inlineStr">
        <is>
          <t>L1</t>
        </is>
      </c>
      <c r="C3" s="10" t="inlineStr">
        <is>
          <t>Lotto attivo per simulazione/ottimizzazione (B3)</t>
        </is>
      </c>
    </row>
    <row r="4">
      <c r="A4" s="10" t="inlineStr">
        <is>
          <t>PunteggioEconomicoMax</t>
        </is>
      </c>
      <c r="B4" s="19" t="n">
        <v>30</v>
      </c>
      <c r="C4" s="10" t="inlineStr">
        <is>
          <t>Max punti economici</t>
        </is>
      </c>
    </row>
    <row r="5">
      <c r="A5" s="10" t="inlineStr">
        <is>
          <t>PunteggioTecnicoMax</t>
        </is>
      </c>
      <c r="B5" s="19" t="n">
        <v>70</v>
      </c>
      <c r="C5" s="10" t="inlineStr">
        <is>
          <t>Max punti tecnici</t>
        </is>
      </c>
    </row>
  </sheetData>
  <dataValidations count="2">
    <dataValidation sqref="B3" showDropDown="0" showInputMessage="0" showErrorMessage="0" allowBlank="0" type="list">
      <formula1>"L1,L2,L3,L4"</formula1>
    </dataValidation>
    <dataValidation sqref="B2" showDropDown="0" showInputMessage="0" showErrorMessage="0" allowBlank="0" type="decimal" operator="between">
      <formula1>0</formula1>
      <formula2>70</formula2>
    </dataValidation>
  </dataValidations>
  <pageMargins left="0.25" right="0.25" top="0.5" bottom="0.5" header="0.5" footer="0.5"/>
  <pageSetup fitToHeight="0" fitToWidth="1"/>
  <legacyDrawing xmlns:r="http://schemas.openxmlformats.org/officeDocument/2006/relationships" r:id="anysvml"/>
  <tableParts count="1">
    <tablePart xmlns:r="http://schemas.openxmlformats.org/officeDocument/2006/relationships" r:id="rId1"/>
  </tableParts>
</worksheet>
</file>

<file path=xl/worksheets/sheet4.xml><?xml version="1.0" encoding="utf-8"?>
<worksheet xmlns="http://schemas.openxmlformats.org/spreadsheetml/2006/main">
  <sheetPr codeName="Foglio3">
    <tabColor rgb="0070AD47"/>
    <outlinePr summaryBelow="1" summaryRight="1"/>
    <pageSetUpPr fitToPage="1"/>
  </sheetPr>
  <dimension ref="A1:C9"/>
  <sheetViews>
    <sheetView showGridLines="0" tabSelected="0" workbookViewId="0">
      <pane ySplit="1" topLeftCell="A2" activePane="bottomLeft" state="frozen"/>
      <selection pane="bottomLeft" activeCell="A1" sqref="A1"/>
    </sheetView>
  </sheetViews>
  <sheetFormatPr baseColWidth="10" defaultColWidth="8.83203125" defaultRowHeight="15"/>
  <cols>
    <col width="24" customWidth="1" min="1" max="1"/>
    <col width="16" customWidth="1" min="2" max="2"/>
    <col width="64" customWidth="1" min="3" max="3"/>
  </cols>
  <sheetData>
    <row r="1" ht="24" customHeight="1">
      <c r="A1" s="18" t="inlineStr">
        <is>
          <t>Parametro</t>
        </is>
      </c>
      <c r="B1" s="18" t="inlineStr">
        <is>
          <t>Valore</t>
        </is>
      </c>
      <c r="C1" s="18" t="inlineStr">
        <is>
          <t>Descrizione</t>
        </is>
      </c>
    </row>
    <row r="2">
      <c r="A2" s="10" t="inlineStr">
        <is>
          <t>BidderId</t>
        </is>
      </c>
      <c r="B2" s="19" t="n"/>
      <c r="C2" s="10" t="inlineStr">
        <is>
          <t>Bidder target ottimizzazione (B2)</t>
        </is>
      </c>
    </row>
    <row r="3">
      <c r="A3" s="10" t="inlineStr">
        <is>
          <t>IterMax</t>
        </is>
      </c>
      <c r="B3" s="19" t="n">
        <v>100</v>
      </c>
      <c r="C3" s="10" t="inlineStr">
        <is>
          <t>Numero massimo iterazioni (B3)</t>
        </is>
      </c>
    </row>
    <row r="4">
      <c r="A4" s="10" t="inlineStr">
        <is>
          <t>StepQ</t>
        </is>
      </c>
      <c r="B4" s="19" t="n">
        <v>0.5</v>
      </c>
      <c r="C4" s="10" t="inlineStr">
        <is>
          <t>Incremento leva Q (B4)</t>
        </is>
      </c>
    </row>
    <row r="5">
      <c r="A5" s="10" t="inlineStr">
        <is>
          <t>Note</t>
        </is>
      </c>
      <c r="B5" s="10" t="n"/>
      <c r="C5" s="10" t="inlineStr">
        <is>
          <t>B5 riservata</t>
        </is>
      </c>
    </row>
    <row r="6">
      <c r="A6" s="10" t="inlineStr">
        <is>
          <t>RibassoStep</t>
        </is>
      </c>
      <c r="B6" s="19" t="n">
        <v>0.1</v>
      </c>
      <c r="C6" s="10" t="inlineStr">
        <is>
          <t>Step riduzione ribasso (B6)</t>
        </is>
      </c>
    </row>
    <row r="7">
      <c r="A7" s="10" t="inlineStr">
        <is>
          <t>TettoQ</t>
        </is>
      </c>
      <c r="B7" s="19" t="n">
        <v>70</v>
      </c>
      <c r="C7" s="10" t="inlineStr">
        <is>
          <t>Massimale Q (B7)</t>
        </is>
      </c>
    </row>
    <row r="8">
      <c r="A8" s="10" t="inlineStr">
        <is>
          <t>StepT</t>
        </is>
      </c>
      <c r="B8" s="19" t="n">
        <v>0.5</v>
      </c>
      <c r="C8" s="10" t="inlineStr">
        <is>
          <t>Incremento leva T (B8)</t>
        </is>
      </c>
    </row>
    <row r="9">
      <c r="A9" s="10" t="inlineStr">
        <is>
          <t>TettoT</t>
        </is>
      </c>
      <c r="B9" s="19" t="n">
        <v>70</v>
      </c>
      <c r="C9" s="10" t="inlineStr">
        <is>
          <t>Massimale T (B9)</t>
        </is>
      </c>
    </row>
  </sheetData>
  <dataValidations count="2">
    <dataValidation sqref="B3" showDropDown="0" showInputMessage="0" showErrorMessage="0" allowBlank="0" type="whole" operator="between">
      <formula1>1</formula1>
      <formula2>1000</formula2>
    </dataValidation>
    <dataValidation sqref="B4 B6 B7 B8 B9" showDropDown="0" showInputMessage="0" showErrorMessage="0" allowBlank="0" type="decimal" operator="between">
      <formula1>0</formula1>
      <formula2>100</formula2>
    </dataValidation>
  </dataValidations>
  <pageMargins left="0.25" right="0.25" top="0.5" bottom="0.5" header="0.5" footer="0.5"/>
  <pageSetup fitToHeight="0" fitToWidth="1"/>
  <tableParts count="1">
    <tablePart xmlns:r="http://schemas.openxmlformats.org/officeDocument/2006/relationships" r:id="rId1"/>
  </tableParts>
</worksheet>
</file>

<file path=xl/worksheets/sheet5.xml><?xml version="1.0" encoding="utf-8"?>
<worksheet xmlns="http://schemas.openxmlformats.org/spreadsheetml/2006/main">
  <sheetPr codeName="Foglio4">
    <tabColor rgb="00ED7D31"/>
    <outlinePr summaryBelow="1" summaryRight="1"/>
    <pageSetUpPr fitToPage="1"/>
  </sheetPr>
  <dimension ref="A1:M200"/>
  <sheetViews>
    <sheetView showGridLines="0" tabSelected="0" workbookViewId="0">
      <pane ySplit="1" topLeftCell="A2" activePane="bottomLeft" state="frozen"/>
      <selection pane="bottomLeft" activeCell="A1" sqref="A1"/>
    </sheetView>
  </sheetViews>
  <sheetFormatPr baseColWidth="10" defaultColWidth="8.83203125" defaultRowHeight="15"/>
  <cols>
    <col width="16" customWidth="1" min="1" max="1"/>
    <col width="26" customWidth="1" min="2" max="2"/>
    <col width="12" customWidth="1" min="3" max="4"/>
    <col width="12" customWidth="1" min="4" max="4"/>
    <col width="24" customWidth="1" min="5" max="5"/>
    <col width="24" customWidth="1" min="6" max="6"/>
    <col width="18" customWidth="1" min="7" max="7"/>
    <col width="14" customWidth="1" min="8" max="8"/>
    <col width="18" customWidth="1" min="9" max="9"/>
    <col width="18" customWidth="1" min="10" max="10"/>
    <col width="22" customWidth="1" min="11" max="11"/>
    <col width="22" customWidth="1" min="12" max="12"/>
    <col hidden="1" width="18" customWidth="1" min="13" max="13"/>
  </cols>
  <sheetData>
    <row r="1" ht="24" customHeight="1">
      <c r="A1" s="18" t="inlineStr">
        <is>
          <t>BidderId</t>
        </is>
      </c>
      <c r="B1" s="18" t="inlineStr">
        <is>
          <t>BidderNome</t>
        </is>
      </c>
      <c r="C1" s="18" t="inlineStr">
        <is>
          <t>Lotto</t>
        </is>
      </c>
      <c r="D1" s="18" t="inlineStr">
        <is>
          <t>Attivo</t>
        </is>
      </c>
      <c r="E1" s="18" t="inlineStr">
        <is>
          <t>PunteggioTecnicoRaw</t>
        </is>
      </c>
      <c r="F1" s="18" t="inlineStr">
        <is>
          <t>RibassoMedioPercento</t>
        </is>
      </c>
      <c r="G1" s="18" t="inlineStr">
        <is>
          <t>AmmessoFormula</t>
        </is>
      </c>
      <c r="H1" s="18" t="inlineStr">
        <is>
          <t>RMaxAmmessi</t>
        </is>
      </c>
      <c r="I1" s="18" t="inlineStr">
        <is>
          <t>EconomicoFormula</t>
        </is>
      </c>
      <c r="J1" s="18" t="inlineStr">
        <is>
          <t>TotaleFormula</t>
        </is>
      </c>
      <c r="K1" s="18" t="inlineStr">
        <is>
          <t>Warning</t>
        </is>
      </c>
      <c r="L1" s="18" t="inlineStr">
        <is>
          <t>ChiaveOfferta</t>
        </is>
      </c>
      <c r="M1" s="18" t="inlineStr">
        <is>
          <t>ChiaveLottoTotale</t>
        </is>
      </c>
    </row>
    <row r="2">
      <c r="A2" s="20" t="inlineStr">
        <is>
          <t>B1</t>
        </is>
      </c>
      <c r="B2" s="20" t="inlineStr">
        <is>
          <t>Operatore A</t>
        </is>
      </c>
      <c r="C2" s="20" t="inlineStr">
        <is>
          <t>L1</t>
        </is>
      </c>
      <c r="D2" s="20" t="inlineStr">
        <is>
          <t>1</t>
        </is>
      </c>
      <c r="E2" s="20" t="inlineStr">
        <is>
          <t>42</t>
        </is>
      </c>
      <c r="F2" s="20" t="inlineStr">
        <is>
          <t>6.1</t>
        </is>
      </c>
      <c r="G2" s="21">
        <f>IF($A2="","",IF(IFERROR(VALUE($D2),0)&lt;&gt;1,"NO",IF(IFERROR(VALUE($E2),0)&gt;=Parametri!$B$2,"SI","NO")))</f>
        <v/>
      </c>
      <c r="H2" s="21">
        <f>IF($G2="SI",SUMPRODUCT(MAX(($C$2:$C$200=$C2)*(IFERROR($D$2:$D$200*1,0)=1)*(IFERROR($E$2:$E$200*1,0)&gt;=Parametri!$B$2)*IFERROR($F$2:$F$200*1,0))),0)</f>
        <v/>
      </c>
      <c r="I2" s="21">
        <f>IF($G2="SI",IF($H2&gt;0,30*(IFERROR(VALUE($F2),0)/$H2),0),0)</f>
        <v/>
      </c>
      <c r="J2" s="21">
        <f>IF($A2="",0,IF($G2="SI",ROUND(IFERROR(VALUE($E2),0)+$I2,4),ROUND(IFERROR(VALUE($E2),0),4)))</f>
        <v/>
      </c>
      <c r="K2" s="21">
        <f>IF($A2="","",IF(IFERROR(VALUE($D2),0)&lt;&gt;1,"Non attiva",IF(IFERROR(VALUE($E2),0)&lt;Parametri!$B$2,"Sotto soglia","")))</f>
        <v/>
      </c>
      <c r="L2" s="21">
        <f>IF($A2="","",$A2&amp;"|"&amp;$C2)</f>
        <v/>
      </c>
      <c r="M2" s="21">
        <f>IF($A2="","",$C2&amp;"|"&amp;TEXT($J2,"0.0000"))</f>
        <v/>
      </c>
    </row>
    <row r="3">
      <c r="A3" s="20" t="inlineStr">
        <is>
          <t>B1</t>
        </is>
      </c>
      <c r="B3" s="20" t="inlineStr">
        <is>
          <t>Operatore A</t>
        </is>
      </c>
      <c r="C3" s="20" t="inlineStr">
        <is>
          <t>L2</t>
        </is>
      </c>
      <c r="D3" s="20" t="inlineStr">
        <is>
          <t>1</t>
        </is>
      </c>
      <c r="E3" s="20" t="inlineStr">
        <is>
          <t>45</t>
        </is>
      </c>
      <c r="F3" s="20" t="inlineStr">
        <is>
          <t>5.2</t>
        </is>
      </c>
      <c r="G3" s="21">
        <f>IF($A3="","",IF(IFERROR(VALUE($D3),0)&lt;&gt;1,"NO",IF(IFERROR(VALUE($E3),0)&gt;=Parametri!$B$2,"SI","NO")))</f>
        <v/>
      </c>
      <c r="H3" s="21">
        <f>IF($G3="SI",SUMPRODUCT(MAX(($C$2:$C$200=$C3)*(IFERROR($D$2:$D$200*1,0)=1)*(IFERROR($E$2:$E$200*1,0)&gt;=Parametri!$B$2)*IFERROR($F$2:$F$200*1,0))),0)</f>
        <v/>
      </c>
      <c r="I3" s="21">
        <f>IF($G3="SI",IF($H3&gt;0,30*(IFERROR(VALUE($F3),0)/$H3),0),0)</f>
        <v/>
      </c>
      <c r="J3" s="21">
        <f>IF($A3="",0,IF($G3="SI",ROUND(IFERROR(VALUE($E3),0)+$I3,4),ROUND(IFERROR(VALUE($E3),0),4)))</f>
        <v/>
      </c>
      <c r="K3" s="21">
        <f>IF($A3="","",IF(IFERROR(VALUE($D3),0)&lt;&gt;1,"Non attiva",IF(IFERROR(VALUE($E3),0)&lt;Parametri!$B$2,"Sotto soglia","")))</f>
        <v/>
      </c>
      <c r="L3" s="21">
        <f>IF($A3="","",$A3&amp;"|"&amp;$C3)</f>
        <v/>
      </c>
      <c r="M3" s="21">
        <f>IF($A3="","",$C3&amp;"|"&amp;TEXT($J3,"0.0000"))</f>
        <v/>
      </c>
    </row>
    <row r="4">
      <c r="A4" s="20" t="inlineStr">
        <is>
          <t>B1</t>
        </is>
      </c>
      <c r="B4" s="20" t="inlineStr">
        <is>
          <t>Operatore A</t>
        </is>
      </c>
      <c r="C4" s="20" t="inlineStr">
        <is>
          <t>L3</t>
        </is>
      </c>
      <c r="D4" s="20" t="inlineStr">
        <is>
          <t>0</t>
        </is>
      </c>
      <c r="E4" s="20" t="inlineStr">
        <is>
          <t>0</t>
        </is>
      </c>
      <c r="F4" s="20" t="inlineStr">
        <is>
          <t>0</t>
        </is>
      </c>
      <c r="G4" s="21">
        <f>IF($A4="","",IF(IFERROR(VALUE($D4),0)&lt;&gt;1,"NO",IF(IFERROR(VALUE($E4),0)&gt;=Parametri!$B$2,"SI","NO")))</f>
        <v/>
      </c>
      <c r="H4" s="21">
        <f>IF($G4="SI",SUMPRODUCT(MAX(($C$2:$C$200=$C4)*(IFERROR($D$2:$D$200*1,0)=1)*(IFERROR($E$2:$E$200*1,0)&gt;=Parametri!$B$2)*IFERROR($F$2:$F$200*1,0))),0)</f>
        <v/>
      </c>
      <c r="I4" s="21">
        <f>IF($G4="SI",IF($H4&gt;0,30*(IFERROR(VALUE($F4),0)/$H4),0),0)</f>
        <v/>
      </c>
      <c r="J4" s="21">
        <f>IF($A4="",0,IF($G4="SI",ROUND(IFERROR(VALUE($E4),0)+$I4,4),ROUND(IFERROR(VALUE($E4),0),4)))</f>
        <v/>
      </c>
      <c r="K4" s="21">
        <f>IF($A4="","",IF(IFERROR(VALUE($D4),0)&lt;&gt;1,"Non attiva",IF(IFERROR(VALUE($E4),0)&lt;Parametri!$B$2,"Sotto soglia","")))</f>
        <v/>
      </c>
      <c r="L4" s="21">
        <f>IF($A4="","",$A4&amp;"|"&amp;$C4)</f>
        <v/>
      </c>
      <c r="M4" s="21">
        <f>IF($A4="","",$C4&amp;"|"&amp;TEXT($J4,"0.0000"))</f>
        <v/>
      </c>
    </row>
    <row r="5">
      <c r="A5" s="20" t="inlineStr">
        <is>
          <t>B1</t>
        </is>
      </c>
      <c r="B5" s="20" t="inlineStr">
        <is>
          <t>Operatore A</t>
        </is>
      </c>
      <c r="C5" s="20" t="inlineStr">
        <is>
          <t>L4</t>
        </is>
      </c>
      <c r="D5" s="20" t="inlineStr">
        <is>
          <t>1</t>
        </is>
      </c>
      <c r="E5" s="20" t="inlineStr">
        <is>
          <t>39</t>
        </is>
      </c>
      <c r="F5" s="20" t="inlineStr">
        <is>
          <t>4.7</t>
        </is>
      </c>
      <c r="G5" s="21">
        <f>IF($A5="","",IF(IFERROR(VALUE($D5),0)&lt;&gt;1,"NO",IF(IFERROR(VALUE($E5),0)&gt;=Parametri!$B$2,"SI","NO")))</f>
        <v/>
      </c>
      <c r="H5" s="21">
        <f>IF($G5="SI",SUMPRODUCT(MAX(($C$2:$C$200=$C5)*(IFERROR($D$2:$D$200*1,0)=1)*(IFERROR($E$2:$E$200*1,0)&gt;=Parametri!$B$2)*IFERROR($F$2:$F$200*1,0))),0)</f>
        <v/>
      </c>
      <c r="I5" s="21">
        <f>IF($G5="SI",IF($H5&gt;0,30*(IFERROR(VALUE($F5),0)/$H5),0),0)</f>
        <v/>
      </c>
      <c r="J5" s="21">
        <f>IF($A5="",0,IF($G5="SI",ROUND(IFERROR(VALUE($E5),0)+$I5,4),ROUND(IFERROR(VALUE($E5),0),4)))</f>
        <v/>
      </c>
      <c r="K5" s="21">
        <f>IF($A5="","",IF(IFERROR(VALUE($D5),0)&lt;&gt;1,"Non attiva",IF(IFERROR(VALUE($E5),0)&lt;Parametri!$B$2,"Sotto soglia","")))</f>
        <v/>
      </c>
      <c r="L5" s="21">
        <f>IF($A5="","",$A5&amp;"|"&amp;$C5)</f>
        <v/>
      </c>
      <c r="M5" s="21">
        <f>IF($A5="","",$C5&amp;"|"&amp;TEXT($J5,"0.0000"))</f>
        <v/>
      </c>
    </row>
    <row r="6">
      <c r="A6" s="20" t="inlineStr">
        <is>
          <t>B2</t>
        </is>
      </c>
      <c r="B6" s="20" t="inlineStr">
        <is>
          <t>Operatore B</t>
        </is>
      </c>
      <c r="C6" s="20" t="inlineStr">
        <is>
          <t>L1</t>
        </is>
      </c>
      <c r="D6" s="20" t="inlineStr">
        <is>
          <t>1</t>
        </is>
      </c>
      <c r="E6" s="20" t="inlineStr">
        <is>
          <t>38</t>
        </is>
      </c>
      <c r="F6" s="20" t="inlineStr">
        <is>
          <t>6.4</t>
        </is>
      </c>
      <c r="G6" s="21">
        <f>IF($A6="","",IF(IFERROR(VALUE($D6),0)&lt;&gt;1,"NO",IF(IFERROR(VALUE($E6),0)&gt;=Parametri!$B$2,"SI","NO")))</f>
        <v/>
      </c>
      <c r="H6" s="21">
        <f>IF($G6="SI",SUMPRODUCT(MAX(($C$2:$C$200=$C6)*(IFERROR($D$2:$D$200*1,0)=1)*(IFERROR($E$2:$E$200*1,0)&gt;=Parametri!$B$2)*IFERROR($F$2:$F$200*1,0))),0)</f>
        <v/>
      </c>
      <c r="I6" s="21">
        <f>IF($G6="SI",IF($H6&gt;0,30*(IFERROR(VALUE($F6),0)/$H6),0),0)</f>
        <v/>
      </c>
      <c r="J6" s="21">
        <f>IF($A6="",0,IF($G6="SI",ROUND(IFERROR(VALUE($E6),0)+$I6,4),ROUND(IFERROR(VALUE($E6),0),4)))</f>
        <v/>
      </c>
      <c r="K6" s="21">
        <f>IF($A6="","",IF(IFERROR(VALUE($D6),0)&lt;&gt;1,"Non attiva",IF(IFERROR(VALUE($E6),0)&lt;Parametri!$B$2,"Sotto soglia","")))</f>
        <v/>
      </c>
      <c r="L6" s="21">
        <f>IF($A6="","",$A6&amp;"|"&amp;$C6)</f>
        <v/>
      </c>
      <c r="M6" s="21">
        <f>IF($A6="","",$C6&amp;"|"&amp;TEXT($J6,"0.0000"))</f>
        <v/>
      </c>
    </row>
    <row r="7">
      <c r="A7" s="20" t="inlineStr">
        <is>
          <t>B2</t>
        </is>
      </c>
      <c r="B7" s="20" t="inlineStr">
        <is>
          <t>Operatore B</t>
        </is>
      </c>
      <c r="C7" s="20" t="inlineStr">
        <is>
          <t>L2</t>
        </is>
      </c>
      <c r="D7" s="20" t="inlineStr">
        <is>
          <t>1</t>
        </is>
      </c>
      <c r="E7" s="20" t="inlineStr">
        <is>
          <t>41</t>
        </is>
      </c>
      <c r="F7" s="20" t="inlineStr">
        <is>
          <t>5.8</t>
        </is>
      </c>
      <c r="G7" s="21">
        <f>IF($A7="","",IF(IFERROR(VALUE($D7),0)&lt;&gt;1,"NO",IF(IFERROR(VALUE($E7),0)&gt;=Parametri!$B$2,"SI","NO")))</f>
        <v/>
      </c>
      <c r="H7" s="21">
        <f>IF($G7="SI",SUMPRODUCT(MAX(($C$2:$C$200=$C7)*(IFERROR($D$2:$D$200*1,0)=1)*(IFERROR($E$2:$E$200*1,0)&gt;=Parametri!$B$2)*IFERROR($F$2:$F$200*1,0))),0)</f>
        <v/>
      </c>
      <c r="I7" s="21">
        <f>IF($G7="SI",IF($H7&gt;0,30*(IFERROR(VALUE($F7),0)/$H7),0),0)</f>
        <v/>
      </c>
      <c r="J7" s="21">
        <f>IF($A7="",0,IF($G7="SI",ROUND(IFERROR(VALUE($E7),0)+$I7,4),ROUND(IFERROR(VALUE($E7),0),4)))</f>
        <v/>
      </c>
      <c r="K7" s="21">
        <f>IF($A7="","",IF(IFERROR(VALUE($D7),0)&lt;&gt;1,"Non attiva",IF(IFERROR(VALUE($E7),0)&lt;Parametri!$B$2,"Sotto soglia","")))</f>
        <v/>
      </c>
      <c r="L7" s="21">
        <f>IF($A7="","",$A7&amp;"|"&amp;$C7)</f>
        <v/>
      </c>
      <c r="M7" s="21">
        <f>IF($A7="","",$C7&amp;"|"&amp;TEXT($J7,"0.0000"))</f>
        <v/>
      </c>
    </row>
    <row r="8">
      <c r="A8" s="20" t="inlineStr">
        <is>
          <t>B2</t>
        </is>
      </c>
      <c r="B8" s="20" t="inlineStr">
        <is>
          <t>Operatore B</t>
        </is>
      </c>
      <c r="C8" s="20" t="inlineStr">
        <is>
          <t>L3</t>
        </is>
      </c>
      <c r="D8" s="20" t="inlineStr">
        <is>
          <t>1</t>
        </is>
      </c>
      <c r="E8" s="20" t="inlineStr">
        <is>
          <t>43</t>
        </is>
      </c>
      <c r="F8" s="20" t="inlineStr">
        <is>
          <t>5.1</t>
        </is>
      </c>
      <c r="G8" s="21">
        <f>IF($A8="","",IF(IFERROR(VALUE($D8),0)&lt;&gt;1,"NO",IF(IFERROR(VALUE($E8),0)&gt;=Parametri!$B$2,"SI","NO")))</f>
        <v/>
      </c>
      <c r="H8" s="21">
        <f>IF($G8="SI",SUMPRODUCT(MAX(($C$2:$C$200=$C8)*(IFERROR($D$2:$D$200*1,0)=1)*(IFERROR($E$2:$E$200*1,0)&gt;=Parametri!$B$2)*IFERROR($F$2:$F$200*1,0))),0)</f>
        <v/>
      </c>
      <c r="I8" s="21">
        <f>IF($G8="SI",IF($H8&gt;0,30*(IFERROR(VALUE($F8),0)/$H8),0),0)</f>
        <v/>
      </c>
      <c r="J8" s="21">
        <f>IF($A8="",0,IF($G8="SI",ROUND(IFERROR(VALUE($E8),0)+$I8,4),ROUND(IFERROR(VALUE($E8),0),4)))</f>
        <v/>
      </c>
      <c r="K8" s="21">
        <f>IF($A8="","",IF(IFERROR(VALUE($D8),0)&lt;&gt;1,"Non attiva",IF(IFERROR(VALUE($E8),0)&lt;Parametri!$B$2,"Sotto soglia","")))</f>
        <v/>
      </c>
      <c r="L8" s="21">
        <f>IF($A8="","",$A8&amp;"|"&amp;$C8)</f>
        <v/>
      </c>
      <c r="M8" s="21">
        <f>IF($A8="","",$C8&amp;"|"&amp;TEXT($J8,"0.0000"))</f>
        <v/>
      </c>
    </row>
    <row r="9">
      <c r="A9" s="20" t="inlineStr">
        <is>
          <t>B2</t>
        </is>
      </c>
      <c r="B9" s="20" t="inlineStr">
        <is>
          <t>Operatore B</t>
        </is>
      </c>
      <c r="C9" s="20" t="inlineStr">
        <is>
          <t>L4</t>
        </is>
      </c>
      <c r="D9" s="20" t="inlineStr">
        <is>
          <t>1</t>
        </is>
      </c>
      <c r="E9" s="20" t="inlineStr">
        <is>
          <t>40</t>
        </is>
      </c>
      <c r="F9" s="20" t="inlineStr">
        <is>
          <t>4.9</t>
        </is>
      </c>
      <c r="G9" s="21">
        <f>IF($A9="","",IF(IFERROR(VALUE($D9),0)&lt;&gt;1,"NO",IF(IFERROR(VALUE($E9),0)&gt;=Parametri!$B$2,"SI","NO")))</f>
        <v/>
      </c>
      <c r="H9" s="21">
        <f>IF($G9="SI",SUMPRODUCT(MAX(($C$2:$C$200=$C9)*(IFERROR($D$2:$D$200*1,0)=1)*(IFERROR($E$2:$E$200*1,0)&gt;=Parametri!$B$2)*IFERROR($F$2:$F$200*1,0))),0)</f>
        <v/>
      </c>
      <c r="I9" s="21">
        <f>IF($G9="SI",IF($H9&gt;0,30*(IFERROR(VALUE($F9),0)/$H9),0),0)</f>
        <v/>
      </c>
      <c r="J9" s="21">
        <f>IF($A9="",0,IF($G9="SI",ROUND(IFERROR(VALUE($E9),0)+$I9,4),ROUND(IFERROR(VALUE($E9),0),4)))</f>
        <v/>
      </c>
      <c r="K9" s="21">
        <f>IF($A9="","",IF(IFERROR(VALUE($D9),0)&lt;&gt;1,"Non attiva",IF(IFERROR(VALUE($E9),0)&lt;Parametri!$B$2,"Sotto soglia","")))</f>
        <v/>
      </c>
      <c r="L9" s="21">
        <f>IF($A9="","",$A9&amp;"|"&amp;$C9)</f>
        <v/>
      </c>
      <c r="M9" s="21">
        <f>IF($A9="","",$C9&amp;"|"&amp;TEXT($J9,"0.0000"))</f>
        <v/>
      </c>
    </row>
    <row r="10">
      <c r="A10" s="20" t="inlineStr">
        <is>
          <t>B3</t>
        </is>
      </c>
      <c r="B10" s="20" t="inlineStr">
        <is>
          <t>Operatore C</t>
        </is>
      </c>
      <c r="C10" s="20" t="inlineStr">
        <is>
          <t>L1</t>
        </is>
      </c>
      <c r="D10" s="20" t="inlineStr">
        <is>
          <t>1</t>
        </is>
      </c>
      <c r="E10" s="20" t="inlineStr">
        <is>
          <t>33</t>
        </is>
      </c>
      <c r="F10" s="20" t="inlineStr">
        <is>
          <t>7.2</t>
        </is>
      </c>
      <c r="G10" s="21">
        <f>IF($A10="","",IF(IFERROR(VALUE($D10),0)&lt;&gt;1,"NO",IF(IFERROR(VALUE($E10),0)&gt;=Parametri!$B$2,"SI","NO")))</f>
        <v/>
      </c>
      <c r="H10" s="21">
        <f>IF($G10="SI",SUMPRODUCT(MAX(($C$2:$C$200=$C10)*(IFERROR($D$2:$D$200*1,0)=1)*(IFERROR($E$2:$E$200*1,0)&gt;=Parametri!$B$2)*IFERROR($F$2:$F$200*1,0))),0)</f>
        <v/>
      </c>
      <c r="I10" s="21">
        <f>IF($G10="SI",IF($H10&gt;0,30*(IFERROR(VALUE($F10),0)/$H10),0),0)</f>
        <v/>
      </c>
      <c r="J10" s="21">
        <f>IF($A10="",0,IF($G10="SI",ROUND(IFERROR(VALUE($E10),0)+$I10,4),ROUND(IFERROR(VALUE($E10),0),4)))</f>
        <v/>
      </c>
      <c r="K10" s="21">
        <f>IF($A10="","",IF(IFERROR(VALUE($D10),0)&lt;&gt;1,"Non attiva",IF(IFERROR(VALUE($E10),0)&lt;Parametri!$B$2,"Sotto soglia","")))</f>
        <v/>
      </c>
      <c r="L10" s="21">
        <f>IF($A10="","",$A10&amp;"|"&amp;$C10)</f>
        <v/>
      </c>
      <c r="M10" s="21">
        <f>IF($A10="","",$C10&amp;"|"&amp;TEXT($J10,"0.0000"))</f>
        <v/>
      </c>
    </row>
    <row r="11">
      <c r="A11" s="20" t="inlineStr">
        <is>
          <t>B3</t>
        </is>
      </c>
      <c r="B11" s="20" t="inlineStr">
        <is>
          <t>Operatore C</t>
        </is>
      </c>
      <c r="C11" s="20" t="inlineStr">
        <is>
          <t>L2</t>
        </is>
      </c>
      <c r="D11" s="20" t="inlineStr">
        <is>
          <t>1</t>
        </is>
      </c>
      <c r="E11" s="20" t="inlineStr">
        <is>
          <t>37</t>
        </is>
      </c>
      <c r="F11" s="20" t="inlineStr">
        <is>
          <t>6.8</t>
        </is>
      </c>
      <c r="G11" s="21">
        <f>IF($A11="","",IF(IFERROR(VALUE($D11),0)&lt;&gt;1,"NO",IF(IFERROR(VALUE($E11),0)&gt;=Parametri!$B$2,"SI","NO")))</f>
        <v/>
      </c>
      <c r="H11" s="21">
        <f>IF($G11="SI",SUMPRODUCT(MAX(($C$2:$C$200=$C11)*(IFERROR($D$2:$D$200*1,0)=1)*(IFERROR($E$2:$E$200*1,0)&gt;=Parametri!$B$2)*IFERROR($F$2:$F$200*1,0))),0)</f>
        <v/>
      </c>
      <c r="I11" s="21">
        <f>IF($G11="SI",IF($H11&gt;0,30*(IFERROR(VALUE($F11),0)/$H11),0),0)</f>
        <v/>
      </c>
      <c r="J11" s="21">
        <f>IF($A11="",0,IF($G11="SI",ROUND(IFERROR(VALUE($E11),0)+$I11,4),ROUND(IFERROR(VALUE($E11),0),4)))</f>
        <v/>
      </c>
      <c r="K11" s="21">
        <f>IF($A11="","",IF(IFERROR(VALUE($D11),0)&lt;&gt;1,"Non attiva",IF(IFERROR(VALUE($E11),0)&lt;Parametri!$B$2,"Sotto soglia","")))</f>
        <v/>
      </c>
      <c r="L11" s="21">
        <f>IF($A11="","",$A11&amp;"|"&amp;$C11)</f>
        <v/>
      </c>
      <c r="M11" s="21">
        <f>IF($A11="","",$C11&amp;"|"&amp;TEXT($J11,"0.0000"))</f>
        <v/>
      </c>
    </row>
    <row r="12">
      <c r="A12" s="20" t="inlineStr">
        <is>
          <t>B3</t>
        </is>
      </c>
      <c r="B12" s="20" t="inlineStr">
        <is>
          <t>Operatore C</t>
        </is>
      </c>
      <c r="C12" s="20" t="inlineStr">
        <is>
          <t>L3</t>
        </is>
      </c>
      <c r="D12" s="20" t="inlineStr">
        <is>
          <t>1</t>
        </is>
      </c>
      <c r="E12" s="20" t="inlineStr">
        <is>
          <t>36</t>
        </is>
      </c>
      <c r="F12" s="20" t="inlineStr">
        <is>
          <t>6.3</t>
        </is>
      </c>
      <c r="G12" s="21">
        <f>IF($A12="","",IF(IFERROR(VALUE($D12),0)&lt;&gt;1,"NO",IF(IFERROR(VALUE($E12),0)&gt;=Parametri!$B$2,"SI","NO")))</f>
        <v/>
      </c>
      <c r="H12" s="21">
        <f>IF($G12="SI",SUMPRODUCT(MAX(($C$2:$C$200=$C12)*(IFERROR($D$2:$D$200*1,0)=1)*(IFERROR($E$2:$E$200*1,0)&gt;=Parametri!$B$2)*IFERROR($F$2:$F$200*1,0))),0)</f>
        <v/>
      </c>
      <c r="I12" s="21">
        <f>IF($G12="SI",IF($H12&gt;0,30*(IFERROR(VALUE($F12),0)/$H12),0),0)</f>
        <v/>
      </c>
      <c r="J12" s="21">
        <f>IF($A12="",0,IF($G12="SI",ROUND(IFERROR(VALUE($E12),0)+$I12,4),ROUND(IFERROR(VALUE($E12),0),4)))</f>
        <v/>
      </c>
      <c r="K12" s="21">
        <f>IF($A12="","",IF(IFERROR(VALUE($D12),0)&lt;&gt;1,"Non attiva",IF(IFERROR(VALUE($E12),0)&lt;Parametri!$B$2,"Sotto soglia","")))</f>
        <v/>
      </c>
      <c r="L12" s="21">
        <f>IF($A12="","",$A12&amp;"|"&amp;$C12)</f>
        <v/>
      </c>
      <c r="M12" s="21">
        <f>IF($A12="","",$C12&amp;"|"&amp;TEXT($J12,"0.0000"))</f>
        <v/>
      </c>
    </row>
    <row r="13">
      <c r="A13" s="20" t="inlineStr">
        <is>
          <t>B3</t>
        </is>
      </c>
      <c r="B13" s="20" t="inlineStr">
        <is>
          <t>Operatore C</t>
        </is>
      </c>
      <c r="C13" s="20" t="inlineStr">
        <is>
          <t>L4</t>
        </is>
      </c>
      <c r="D13" s="20" t="inlineStr">
        <is>
          <t>1</t>
        </is>
      </c>
      <c r="E13" s="20" t="inlineStr">
        <is>
          <t>35</t>
        </is>
      </c>
      <c r="F13" s="20" t="inlineStr">
        <is>
          <t>6.0</t>
        </is>
      </c>
      <c r="G13" s="21">
        <f>IF($A13="","",IF(IFERROR(VALUE($D13),0)&lt;&gt;1,"NO",IF(IFERROR(VALUE($E13),0)&gt;=Parametri!$B$2,"SI","NO")))</f>
        <v/>
      </c>
      <c r="H13" s="21">
        <f>IF($G13="SI",SUMPRODUCT(MAX(($C$2:$C$200=$C13)*(IFERROR($D$2:$D$200*1,0)=1)*(IFERROR($E$2:$E$200*1,0)&gt;=Parametri!$B$2)*IFERROR($F$2:$F$200*1,0))),0)</f>
        <v/>
      </c>
      <c r="I13" s="21">
        <f>IF($G13="SI",IF($H13&gt;0,30*(IFERROR(VALUE($F13),0)/$H13),0),0)</f>
        <v/>
      </c>
      <c r="J13" s="21">
        <f>IF($A13="",0,IF($G13="SI",ROUND(IFERROR(VALUE($E13),0)+$I13,4),ROUND(IFERROR(VALUE($E13),0),4)))</f>
        <v/>
      </c>
      <c r="K13" s="21">
        <f>IF($A13="","",IF(IFERROR(VALUE($D13),0)&lt;&gt;1,"Non attiva",IF(IFERROR(VALUE($E13),0)&lt;Parametri!$B$2,"Sotto soglia","")))</f>
        <v/>
      </c>
      <c r="L13" s="21">
        <f>IF($A13="","",$A13&amp;"|"&amp;$C13)</f>
        <v/>
      </c>
      <c r="M13" s="21">
        <f>IF($A13="","",$C13&amp;"|"&amp;TEXT($J13,"0.0000"))</f>
        <v/>
      </c>
    </row>
    <row r="14">
      <c r="A14" s="20" t="n"/>
      <c r="B14" s="20" t="n"/>
      <c r="C14" s="20" t="n"/>
      <c r="D14" s="20" t="n"/>
      <c r="E14" s="20" t="n"/>
      <c r="F14" s="20" t="n"/>
      <c r="G14" s="21">
        <f>IF($A14="","",IF(IFERROR(VALUE($D14),0)&lt;&gt;1,"NO",IF(IFERROR(VALUE($E14),0)&gt;=Parametri!$B$2,"SI","NO")))</f>
        <v/>
      </c>
      <c r="H14" s="21">
        <f>IF($G14="SI",SUMPRODUCT(MAX(($C$2:$C$200=$C14)*(IFERROR($D$2:$D$200*1,0)=1)*(IFERROR($E$2:$E$200*1,0)&gt;=Parametri!$B$2)*IFERROR($F$2:$F$200*1,0))),0)</f>
        <v/>
      </c>
      <c r="I14" s="21">
        <f>IF($G14="SI",IF($H14&gt;0,30*(IFERROR(VALUE($F14),0)/$H14),0),0)</f>
        <v/>
      </c>
      <c r="J14" s="21">
        <f>IF($A14="",0,IF($G14="SI",ROUND(IFERROR(VALUE($E14),0)+$I14,4),ROUND(IFERROR(VALUE($E14),0),4)))</f>
        <v/>
      </c>
      <c r="K14" s="21">
        <f>IF($A14="","",IF(IFERROR(VALUE($D14),0)&lt;&gt;1,"Non attiva",IF(IFERROR(VALUE($E14),0)&lt;Parametri!$B$2,"Sotto soglia","")))</f>
        <v/>
      </c>
      <c r="L14" s="21">
        <f>IF($A14="","",$A14&amp;"|"&amp;$C14)</f>
        <v/>
      </c>
      <c r="M14" s="21">
        <f>IF($A14="","",$C14&amp;"|"&amp;TEXT($J14,"0.0000"))</f>
        <v/>
      </c>
    </row>
    <row r="15">
      <c r="A15" s="20" t="n"/>
      <c r="B15" s="20" t="n"/>
      <c r="C15" s="20" t="n"/>
      <c r="D15" s="20" t="n"/>
      <c r="E15" s="20" t="n"/>
      <c r="F15" s="20" t="n"/>
      <c r="G15" s="21">
        <f>IF($A15="","",IF(IFERROR(VALUE($D15),0)&lt;&gt;1,"NO",IF(IFERROR(VALUE($E15),0)&gt;=Parametri!$B$2,"SI","NO")))</f>
        <v/>
      </c>
      <c r="H15" s="21">
        <f>IF($G15="SI",SUMPRODUCT(MAX(($C$2:$C$200=$C15)*(IFERROR($D$2:$D$200*1,0)=1)*(IFERROR($E$2:$E$200*1,0)&gt;=Parametri!$B$2)*IFERROR($F$2:$F$200*1,0))),0)</f>
        <v/>
      </c>
      <c r="I15" s="21">
        <f>IF($G15="SI",IF($H15&gt;0,30*(IFERROR(VALUE($F15),0)/$H15),0),0)</f>
        <v/>
      </c>
      <c r="J15" s="21">
        <f>IF($A15="",0,IF($G15="SI",ROUND(IFERROR(VALUE($E15),0)+$I15,4),ROUND(IFERROR(VALUE($E15),0),4)))</f>
        <v/>
      </c>
      <c r="K15" s="21">
        <f>IF($A15="","",IF(IFERROR(VALUE($D15),0)&lt;&gt;1,"Non attiva",IF(IFERROR(VALUE($E15),0)&lt;Parametri!$B$2,"Sotto soglia","")))</f>
        <v/>
      </c>
      <c r="L15" s="21">
        <f>IF($A15="","",$A15&amp;"|"&amp;$C15)</f>
        <v/>
      </c>
      <c r="M15" s="21">
        <f>IF($A15="","",$C15&amp;"|"&amp;TEXT($J15,"0.0000"))</f>
        <v/>
      </c>
    </row>
    <row r="16">
      <c r="A16" s="20" t="n"/>
      <c r="B16" s="20" t="n"/>
      <c r="C16" s="20" t="n"/>
      <c r="D16" s="20" t="n"/>
      <c r="E16" s="20" t="n"/>
      <c r="F16" s="20" t="n"/>
      <c r="G16" s="21">
        <f>IF($A16="","",IF(IFERROR(VALUE($D16),0)&lt;&gt;1,"NO",IF(IFERROR(VALUE($E16),0)&gt;=Parametri!$B$2,"SI","NO")))</f>
        <v/>
      </c>
      <c r="H16" s="21">
        <f>IF($G16="SI",SUMPRODUCT(MAX(($C$2:$C$200=$C16)*(IFERROR($D$2:$D$200*1,0)=1)*(IFERROR($E$2:$E$200*1,0)&gt;=Parametri!$B$2)*IFERROR($F$2:$F$200*1,0))),0)</f>
        <v/>
      </c>
      <c r="I16" s="21">
        <f>IF($G16="SI",IF($H16&gt;0,30*(IFERROR(VALUE($F16),0)/$H16),0),0)</f>
        <v/>
      </c>
      <c r="J16" s="21">
        <f>IF($A16="",0,IF($G16="SI",ROUND(IFERROR(VALUE($E16),0)+$I16,4),ROUND(IFERROR(VALUE($E16),0),4)))</f>
        <v/>
      </c>
      <c r="K16" s="21">
        <f>IF($A16="","",IF(IFERROR(VALUE($D16),0)&lt;&gt;1,"Non attiva",IF(IFERROR(VALUE($E16),0)&lt;Parametri!$B$2,"Sotto soglia","")))</f>
        <v/>
      </c>
      <c r="L16" s="21">
        <f>IF($A16="","",$A16&amp;"|"&amp;$C16)</f>
        <v/>
      </c>
      <c r="M16" s="21">
        <f>IF($A16="","",$C16&amp;"|"&amp;TEXT($J16,"0.0000"))</f>
        <v/>
      </c>
    </row>
    <row r="17">
      <c r="A17" s="20" t="n"/>
      <c r="B17" s="20" t="n"/>
      <c r="C17" s="20" t="n"/>
      <c r="D17" s="20" t="n"/>
      <c r="E17" s="20" t="n"/>
      <c r="F17" s="20" t="n"/>
      <c r="G17" s="21">
        <f>IF($A17="","",IF(IFERROR(VALUE($D17),0)&lt;&gt;1,"NO",IF(IFERROR(VALUE($E17),0)&gt;=Parametri!$B$2,"SI","NO")))</f>
        <v/>
      </c>
      <c r="H17" s="21">
        <f>IF($G17="SI",SUMPRODUCT(MAX(($C$2:$C$200=$C17)*(IFERROR($D$2:$D$200*1,0)=1)*(IFERROR($E$2:$E$200*1,0)&gt;=Parametri!$B$2)*IFERROR($F$2:$F$200*1,0))),0)</f>
        <v/>
      </c>
      <c r="I17" s="21">
        <f>IF($G17="SI",IF($H17&gt;0,30*(IFERROR(VALUE($F17),0)/$H17),0),0)</f>
        <v/>
      </c>
      <c r="J17" s="21">
        <f>IF($A17="",0,IF($G17="SI",ROUND(IFERROR(VALUE($E17),0)+$I17,4),ROUND(IFERROR(VALUE($E17),0),4)))</f>
        <v/>
      </c>
      <c r="K17" s="21">
        <f>IF($A17="","",IF(IFERROR(VALUE($D17),0)&lt;&gt;1,"Non attiva",IF(IFERROR(VALUE($E17),0)&lt;Parametri!$B$2,"Sotto soglia","")))</f>
        <v/>
      </c>
      <c r="L17" s="21">
        <f>IF($A17="","",$A17&amp;"|"&amp;$C17)</f>
        <v/>
      </c>
      <c r="M17" s="21">
        <f>IF($A17="","",$C17&amp;"|"&amp;TEXT($J17,"0.0000"))</f>
        <v/>
      </c>
    </row>
    <row r="18">
      <c r="A18" s="20" t="n"/>
      <c r="B18" s="20" t="n"/>
      <c r="C18" s="20" t="n"/>
      <c r="D18" s="20" t="n"/>
      <c r="E18" s="20" t="n"/>
      <c r="F18" s="20" t="n"/>
      <c r="G18" s="21">
        <f>IF($A18="","",IF(IFERROR(VALUE($D18),0)&lt;&gt;1,"NO",IF(IFERROR(VALUE($E18),0)&gt;=Parametri!$B$2,"SI","NO")))</f>
        <v/>
      </c>
      <c r="H18" s="21">
        <f>IF($G18="SI",SUMPRODUCT(MAX(($C$2:$C$200=$C18)*(IFERROR($D$2:$D$200*1,0)=1)*(IFERROR($E$2:$E$200*1,0)&gt;=Parametri!$B$2)*IFERROR($F$2:$F$200*1,0))),0)</f>
        <v/>
      </c>
      <c r="I18" s="21">
        <f>IF($G18="SI",IF($H18&gt;0,30*(IFERROR(VALUE($F18),0)/$H18),0),0)</f>
        <v/>
      </c>
      <c r="J18" s="21">
        <f>IF($A18="",0,IF($G18="SI",ROUND(IFERROR(VALUE($E18),0)+$I18,4),ROUND(IFERROR(VALUE($E18),0),4)))</f>
        <v/>
      </c>
      <c r="K18" s="21">
        <f>IF($A18="","",IF(IFERROR(VALUE($D18),0)&lt;&gt;1,"Non attiva",IF(IFERROR(VALUE($E18),0)&lt;Parametri!$B$2,"Sotto soglia","")))</f>
        <v/>
      </c>
      <c r="L18" s="21">
        <f>IF($A18="","",$A18&amp;"|"&amp;$C18)</f>
        <v/>
      </c>
      <c r="M18" s="21">
        <f>IF($A18="","",$C18&amp;"|"&amp;TEXT($J18,"0.0000"))</f>
        <v/>
      </c>
    </row>
    <row r="19">
      <c r="A19" s="20" t="n"/>
      <c r="B19" s="20" t="n"/>
      <c r="C19" s="20" t="n"/>
      <c r="D19" s="20" t="n"/>
      <c r="E19" s="20" t="n"/>
      <c r="F19" s="20" t="n"/>
      <c r="G19" s="21">
        <f>IF($A19="","",IF(IFERROR(VALUE($D19),0)&lt;&gt;1,"NO",IF(IFERROR(VALUE($E19),0)&gt;=Parametri!$B$2,"SI","NO")))</f>
        <v/>
      </c>
      <c r="H19" s="21">
        <f>IF($G19="SI",SUMPRODUCT(MAX(($C$2:$C$200=$C19)*(IFERROR($D$2:$D$200*1,0)=1)*(IFERROR($E$2:$E$200*1,0)&gt;=Parametri!$B$2)*IFERROR($F$2:$F$200*1,0))),0)</f>
        <v/>
      </c>
      <c r="I19" s="21">
        <f>IF($G19="SI",IF($H19&gt;0,30*(IFERROR(VALUE($F19),0)/$H19),0),0)</f>
        <v/>
      </c>
      <c r="J19" s="21">
        <f>IF($A19="",0,IF($G19="SI",ROUND(IFERROR(VALUE($E19),0)+$I19,4),ROUND(IFERROR(VALUE($E19),0),4)))</f>
        <v/>
      </c>
      <c r="K19" s="21">
        <f>IF($A19="","",IF(IFERROR(VALUE($D19),0)&lt;&gt;1,"Non attiva",IF(IFERROR(VALUE($E19),0)&lt;Parametri!$B$2,"Sotto soglia","")))</f>
        <v/>
      </c>
      <c r="L19" s="21">
        <f>IF($A19="","",$A19&amp;"|"&amp;$C19)</f>
        <v/>
      </c>
      <c r="M19" s="21">
        <f>IF($A19="","",$C19&amp;"|"&amp;TEXT($J19,"0.0000"))</f>
        <v/>
      </c>
    </row>
    <row r="20">
      <c r="A20" s="20" t="n"/>
      <c r="B20" s="20" t="n"/>
      <c r="C20" s="20" t="n"/>
      <c r="D20" s="20" t="n"/>
      <c r="E20" s="20" t="n"/>
      <c r="F20" s="20" t="n"/>
      <c r="G20" s="21">
        <f>IF($A20="","",IF(IFERROR(VALUE($D20),0)&lt;&gt;1,"NO",IF(IFERROR(VALUE($E20),0)&gt;=Parametri!$B$2,"SI","NO")))</f>
        <v/>
      </c>
      <c r="H20" s="21">
        <f>IF($G20="SI",SUMPRODUCT(MAX(($C$2:$C$200=$C20)*(IFERROR($D$2:$D$200*1,0)=1)*(IFERROR($E$2:$E$200*1,0)&gt;=Parametri!$B$2)*IFERROR($F$2:$F$200*1,0))),0)</f>
        <v/>
      </c>
      <c r="I20" s="21">
        <f>IF($G20="SI",IF($H20&gt;0,30*(IFERROR(VALUE($F20),0)/$H20),0),0)</f>
        <v/>
      </c>
      <c r="J20" s="21">
        <f>IF($A20="",0,IF($G20="SI",ROUND(IFERROR(VALUE($E20),0)+$I20,4),ROUND(IFERROR(VALUE($E20),0),4)))</f>
        <v/>
      </c>
      <c r="K20" s="21">
        <f>IF($A20="","",IF(IFERROR(VALUE($D20),0)&lt;&gt;1,"Non attiva",IF(IFERROR(VALUE($E20),0)&lt;Parametri!$B$2,"Sotto soglia","")))</f>
        <v/>
      </c>
      <c r="L20" s="21">
        <f>IF($A20="","",$A20&amp;"|"&amp;$C20)</f>
        <v/>
      </c>
      <c r="M20" s="21">
        <f>IF($A20="","",$C20&amp;"|"&amp;TEXT($J20,"0.0000"))</f>
        <v/>
      </c>
    </row>
    <row r="21">
      <c r="A21" s="20" t="n"/>
      <c r="B21" s="20" t="n"/>
      <c r="C21" s="20" t="n"/>
      <c r="D21" s="20" t="n"/>
      <c r="E21" s="20" t="n"/>
      <c r="F21" s="20" t="n"/>
      <c r="G21" s="21">
        <f>IF($A21="","",IF(IFERROR(VALUE($D21),0)&lt;&gt;1,"NO",IF(IFERROR(VALUE($E21),0)&gt;=Parametri!$B$2,"SI","NO")))</f>
        <v/>
      </c>
      <c r="H21" s="21">
        <f>IF($G21="SI",SUMPRODUCT(MAX(($C$2:$C$200=$C21)*(IFERROR($D$2:$D$200*1,0)=1)*(IFERROR($E$2:$E$200*1,0)&gt;=Parametri!$B$2)*IFERROR($F$2:$F$200*1,0))),0)</f>
        <v/>
      </c>
      <c r="I21" s="21">
        <f>IF($G21="SI",IF($H21&gt;0,30*(IFERROR(VALUE($F21),0)/$H21),0),0)</f>
        <v/>
      </c>
      <c r="J21" s="21">
        <f>IF($A21="",0,IF($G21="SI",ROUND(IFERROR(VALUE($E21),0)+$I21,4),ROUND(IFERROR(VALUE($E21),0),4)))</f>
        <v/>
      </c>
      <c r="K21" s="21">
        <f>IF($A21="","",IF(IFERROR(VALUE($D21),0)&lt;&gt;1,"Non attiva",IF(IFERROR(VALUE($E21),0)&lt;Parametri!$B$2,"Sotto soglia","")))</f>
        <v/>
      </c>
      <c r="L21" s="21">
        <f>IF($A21="","",$A21&amp;"|"&amp;$C21)</f>
        <v/>
      </c>
      <c r="M21" s="21">
        <f>IF($A21="","",$C21&amp;"|"&amp;TEXT($J21,"0.0000"))</f>
        <v/>
      </c>
    </row>
    <row r="22">
      <c r="A22" s="20" t="n"/>
      <c r="B22" s="20" t="n"/>
      <c r="C22" s="20" t="n"/>
      <c r="D22" s="20" t="n"/>
      <c r="E22" s="20" t="n"/>
      <c r="F22" s="20" t="n"/>
      <c r="G22" s="21">
        <f>IF($A22="","",IF(IFERROR(VALUE($D22),0)&lt;&gt;1,"NO",IF(IFERROR(VALUE($E22),0)&gt;=Parametri!$B$2,"SI","NO")))</f>
        <v/>
      </c>
      <c r="H22" s="21">
        <f>IF($G22="SI",SUMPRODUCT(MAX(($C$2:$C$200=$C22)*(IFERROR($D$2:$D$200*1,0)=1)*(IFERROR($E$2:$E$200*1,0)&gt;=Parametri!$B$2)*IFERROR($F$2:$F$200*1,0))),0)</f>
        <v/>
      </c>
      <c r="I22" s="21">
        <f>IF($G22="SI",IF($H22&gt;0,30*(IFERROR(VALUE($F22),0)/$H22),0),0)</f>
        <v/>
      </c>
      <c r="J22" s="21">
        <f>IF($A22="",0,IF($G22="SI",ROUND(IFERROR(VALUE($E22),0)+$I22,4),ROUND(IFERROR(VALUE($E22),0),4)))</f>
        <v/>
      </c>
      <c r="K22" s="21">
        <f>IF($A22="","",IF(IFERROR(VALUE($D22),0)&lt;&gt;1,"Non attiva",IF(IFERROR(VALUE($E22),0)&lt;Parametri!$B$2,"Sotto soglia","")))</f>
        <v/>
      </c>
      <c r="L22" s="21">
        <f>IF($A22="","",$A22&amp;"|"&amp;$C22)</f>
        <v/>
      </c>
      <c r="M22" s="21">
        <f>IF($A22="","",$C22&amp;"|"&amp;TEXT($J22,"0.0000"))</f>
        <v/>
      </c>
    </row>
    <row r="23">
      <c r="A23" s="20" t="n"/>
      <c r="B23" s="20" t="n"/>
      <c r="C23" s="20" t="n"/>
      <c r="D23" s="20" t="n"/>
      <c r="E23" s="20" t="n"/>
      <c r="F23" s="20" t="n"/>
      <c r="G23" s="21">
        <f>IF($A23="","",IF(IFERROR(VALUE($D23),0)&lt;&gt;1,"NO",IF(IFERROR(VALUE($E23),0)&gt;=Parametri!$B$2,"SI","NO")))</f>
        <v/>
      </c>
      <c r="H23" s="21">
        <f>IF($G23="SI",SUMPRODUCT(MAX(($C$2:$C$200=$C23)*(IFERROR($D$2:$D$200*1,0)=1)*(IFERROR($E$2:$E$200*1,0)&gt;=Parametri!$B$2)*IFERROR($F$2:$F$200*1,0))),0)</f>
        <v/>
      </c>
      <c r="I23" s="21">
        <f>IF($G23="SI",IF($H23&gt;0,30*(IFERROR(VALUE($F23),0)/$H23),0),0)</f>
        <v/>
      </c>
      <c r="J23" s="21">
        <f>IF($A23="",0,IF($G23="SI",ROUND(IFERROR(VALUE($E23),0)+$I23,4),ROUND(IFERROR(VALUE($E23),0),4)))</f>
        <v/>
      </c>
      <c r="K23" s="21">
        <f>IF($A23="","",IF(IFERROR(VALUE($D23),0)&lt;&gt;1,"Non attiva",IF(IFERROR(VALUE($E23),0)&lt;Parametri!$B$2,"Sotto soglia","")))</f>
        <v/>
      </c>
      <c r="L23" s="21">
        <f>IF($A23="","",$A23&amp;"|"&amp;$C23)</f>
        <v/>
      </c>
      <c r="M23" s="21">
        <f>IF($A23="","",$C23&amp;"|"&amp;TEXT($J23,"0.0000"))</f>
        <v/>
      </c>
    </row>
    <row r="24">
      <c r="A24" s="20" t="n"/>
      <c r="B24" s="20" t="n"/>
      <c r="C24" s="20" t="n"/>
      <c r="D24" s="20" t="n"/>
      <c r="E24" s="20" t="n"/>
      <c r="F24" s="20" t="n"/>
      <c r="G24" s="21">
        <f>IF($A24="","",IF(IFERROR(VALUE($D24),0)&lt;&gt;1,"NO",IF(IFERROR(VALUE($E24),0)&gt;=Parametri!$B$2,"SI","NO")))</f>
        <v/>
      </c>
      <c r="H24" s="21">
        <f>IF($G24="SI",SUMPRODUCT(MAX(($C$2:$C$200=$C24)*(IFERROR($D$2:$D$200*1,0)=1)*(IFERROR($E$2:$E$200*1,0)&gt;=Parametri!$B$2)*IFERROR($F$2:$F$200*1,0))),0)</f>
        <v/>
      </c>
      <c r="I24" s="21">
        <f>IF($G24="SI",IF($H24&gt;0,30*(IFERROR(VALUE($F24),0)/$H24),0),0)</f>
        <v/>
      </c>
      <c r="J24" s="21">
        <f>IF($A24="",0,IF($G24="SI",ROUND(IFERROR(VALUE($E24),0)+$I24,4),ROUND(IFERROR(VALUE($E24),0),4)))</f>
        <v/>
      </c>
      <c r="K24" s="21">
        <f>IF($A24="","",IF(IFERROR(VALUE($D24),0)&lt;&gt;1,"Non attiva",IF(IFERROR(VALUE($E24),0)&lt;Parametri!$B$2,"Sotto soglia","")))</f>
        <v/>
      </c>
      <c r="L24" s="21">
        <f>IF($A24="","",$A24&amp;"|"&amp;$C24)</f>
        <v/>
      </c>
      <c r="M24" s="21">
        <f>IF($A24="","",$C24&amp;"|"&amp;TEXT($J24,"0.0000"))</f>
        <v/>
      </c>
    </row>
    <row r="25">
      <c r="A25" s="20" t="n"/>
      <c r="B25" s="20" t="n"/>
      <c r="C25" s="20" t="n"/>
      <c r="D25" s="20" t="n"/>
      <c r="E25" s="20" t="n"/>
      <c r="F25" s="20" t="n"/>
      <c r="G25" s="21">
        <f>IF($A25="","",IF(IFERROR(VALUE($D25),0)&lt;&gt;1,"NO",IF(IFERROR(VALUE($E25),0)&gt;=Parametri!$B$2,"SI","NO")))</f>
        <v/>
      </c>
      <c r="H25" s="21">
        <f>IF($G25="SI",SUMPRODUCT(MAX(($C$2:$C$200=$C25)*(IFERROR($D$2:$D$200*1,0)=1)*(IFERROR($E$2:$E$200*1,0)&gt;=Parametri!$B$2)*IFERROR($F$2:$F$200*1,0))),0)</f>
        <v/>
      </c>
      <c r="I25" s="21">
        <f>IF($G25="SI",IF($H25&gt;0,30*(IFERROR(VALUE($F25),0)/$H25),0),0)</f>
        <v/>
      </c>
      <c r="J25" s="21">
        <f>IF($A25="",0,IF($G25="SI",ROUND(IFERROR(VALUE($E25),0)+$I25,4),ROUND(IFERROR(VALUE($E25),0),4)))</f>
        <v/>
      </c>
      <c r="K25" s="21">
        <f>IF($A25="","",IF(IFERROR(VALUE($D25),0)&lt;&gt;1,"Non attiva",IF(IFERROR(VALUE($E25),0)&lt;Parametri!$B$2,"Sotto soglia","")))</f>
        <v/>
      </c>
      <c r="L25" s="21">
        <f>IF($A25="","",$A25&amp;"|"&amp;$C25)</f>
        <v/>
      </c>
      <c r="M25" s="21">
        <f>IF($A25="","",$C25&amp;"|"&amp;TEXT($J25,"0.0000"))</f>
        <v/>
      </c>
    </row>
    <row r="26">
      <c r="A26" s="20" t="n"/>
      <c r="B26" s="20" t="n"/>
      <c r="C26" s="20" t="n"/>
      <c r="D26" s="20" t="n"/>
      <c r="E26" s="20" t="n"/>
      <c r="F26" s="20" t="n"/>
      <c r="G26" s="21">
        <f>IF($A26="","",IF(IFERROR(VALUE($D26),0)&lt;&gt;1,"NO",IF(IFERROR(VALUE($E26),0)&gt;=Parametri!$B$2,"SI","NO")))</f>
        <v/>
      </c>
      <c r="H26" s="21">
        <f>IF($G26="SI",SUMPRODUCT(MAX(($C$2:$C$200=$C26)*(IFERROR($D$2:$D$200*1,0)=1)*(IFERROR($E$2:$E$200*1,0)&gt;=Parametri!$B$2)*IFERROR($F$2:$F$200*1,0))),0)</f>
        <v/>
      </c>
      <c r="I26" s="21">
        <f>IF($G26="SI",IF($H26&gt;0,30*(IFERROR(VALUE($F26),0)/$H26),0),0)</f>
        <v/>
      </c>
      <c r="J26" s="21">
        <f>IF($A26="",0,IF($G26="SI",ROUND(IFERROR(VALUE($E26),0)+$I26,4),ROUND(IFERROR(VALUE($E26),0),4)))</f>
        <v/>
      </c>
      <c r="K26" s="21">
        <f>IF($A26="","",IF(IFERROR(VALUE($D26),0)&lt;&gt;1,"Non attiva",IF(IFERROR(VALUE($E26),0)&lt;Parametri!$B$2,"Sotto soglia","")))</f>
        <v/>
      </c>
      <c r="L26" s="21">
        <f>IF($A26="","",$A26&amp;"|"&amp;$C26)</f>
        <v/>
      </c>
      <c r="M26" s="21">
        <f>IF($A26="","",$C26&amp;"|"&amp;TEXT($J26,"0.0000"))</f>
        <v/>
      </c>
    </row>
    <row r="27">
      <c r="A27" s="20" t="n"/>
      <c r="B27" s="20" t="n"/>
      <c r="C27" s="20" t="n"/>
      <c r="D27" s="20" t="n"/>
      <c r="E27" s="20" t="n"/>
      <c r="F27" s="20" t="n"/>
      <c r="G27" s="21">
        <f>IF($A27="","",IF(IFERROR(VALUE($D27),0)&lt;&gt;1,"NO",IF(IFERROR(VALUE($E27),0)&gt;=Parametri!$B$2,"SI","NO")))</f>
        <v/>
      </c>
      <c r="H27" s="21">
        <f>IF($G27="SI",SUMPRODUCT(MAX(($C$2:$C$200=$C27)*(IFERROR($D$2:$D$200*1,0)=1)*(IFERROR($E$2:$E$200*1,0)&gt;=Parametri!$B$2)*IFERROR($F$2:$F$200*1,0))),0)</f>
        <v/>
      </c>
      <c r="I27" s="21">
        <f>IF($G27="SI",IF($H27&gt;0,30*(IFERROR(VALUE($F27),0)/$H27),0),0)</f>
        <v/>
      </c>
      <c r="J27" s="21">
        <f>IF($A27="",0,IF($G27="SI",ROUND(IFERROR(VALUE($E27),0)+$I27,4),ROUND(IFERROR(VALUE($E27),0),4)))</f>
        <v/>
      </c>
      <c r="K27" s="21">
        <f>IF($A27="","",IF(IFERROR(VALUE($D27),0)&lt;&gt;1,"Non attiva",IF(IFERROR(VALUE($E27),0)&lt;Parametri!$B$2,"Sotto soglia","")))</f>
        <v/>
      </c>
      <c r="L27" s="21">
        <f>IF($A27="","",$A27&amp;"|"&amp;$C27)</f>
        <v/>
      </c>
      <c r="M27" s="21">
        <f>IF($A27="","",$C27&amp;"|"&amp;TEXT($J27,"0.0000"))</f>
        <v/>
      </c>
    </row>
    <row r="28">
      <c r="A28" s="20" t="n"/>
      <c r="B28" s="20" t="n"/>
      <c r="C28" s="20" t="n"/>
      <c r="D28" s="20" t="n"/>
      <c r="E28" s="20" t="n"/>
      <c r="F28" s="20" t="n"/>
      <c r="G28" s="21">
        <f>IF($A28="","",IF(IFERROR(VALUE($D28),0)&lt;&gt;1,"NO",IF(IFERROR(VALUE($E28),0)&gt;=Parametri!$B$2,"SI","NO")))</f>
        <v/>
      </c>
      <c r="H28" s="21">
        <f>IF($G28="SI",SUMPRODUCT(MAX(($C$2:$C$200=$C28)*(IFERROR($D$2:$D$200*1,0)=1)*(IFERROR($E$2:$E$200*1,0)&gt;=Parametri!$B$2)*IFERROR($F$2:$F$200*1,0))),0)</f>
        <v/>
      </c>
      <c r="I28" s="21">
        <f>IF($G28="SI",IF($H28&gt;0,30*(IFERROR(VALUE($F28),0)/$H28),0),0)</f>
        <v/>
      </c>
      <c r="J28" s="21">
        <f>IF($A28="",0,IF($G28="SI",ROUND(IFERROR(VALUE($E28),0)+$I28,4),ROUND(IFERROR(VALUE($E28),0),4)))</f>
        <v/>
      </c>
      <c r="K28" s="21">
        <f>IF($A28="","",IF(IFERROR(VALUE($D28),0)&lt;&gt;1,"Non attiva",IF(IFERROR(VALUE($E28),0)&lt;Parametri!$B$2,"Sotto soglia","")))</f>
        <v/>
      </c>
      <c r="L28" s="21">
        <f>IF($A28="","",$A28&amp;"|"&amp;$C28)</f>
        <v/>
      </c>
      <c r="M28" s="21">
        <f>IF($A28="","",$C28&amp;"|"&amp;TEXT($J28,"0.0000"))</f>
        <v/>
      </c>
    </row>
    <row r="29">
      <c r="A29" s="20" t="n"/>
      <c r="B29" s="20" t="n"/>
      <c r="C29" s="20" t="n"/>
      <c r="D29" s="20" t="n"/>
      <c r="E29" s="20" t="n"/>
      <c r="F29" s="20" t="n"/>
      <c r="G29" s="21">
        <f>IF($A29="","",IF(IFERROR(VALUE($D29),0)&lt;&gt;1,"NO",IF(IFERROR(VALUE($E29),0)&gt;=Parametri!$B$2,"SI","NO")))</f>
        <v/>
      </c>
      <c r="H29" s="21">
        <f>IF($G29="SI",SUMPRODUCT(MAX(($C$2:$C$200=$C29)*(IFERROR($D$2:$D$200*1,0)=1)*(IFERROR($E$2:$E$200*1,0)&gt;=Parametri!$B$2)*IFERROR($F$2:$F$200*1,0))),0)</f>
        <v/>
      </c>
      <c r="I29" s="21">
        <f>IF($G29="SI",IF($H29&gt;0,30*(IFERROR(VALUE($F29),0)/$H29),0),0)</f>
        <v/>
      </c>
      <c r="J29" s="21">
        <f>IF($A29="",0,IF($G29="SI",ROUND(IFERROR(VALUE($E29),0)+$I29,4),ROUND(IFERROR(VALUE($E29),0),4)))</f>
        <v/>
      </c>
      <c r="K29" s="21">
        <f>IF($A29="","",IF(IFERROR(VALUE($D29),0)&lt;&gt;1,"Non attiva",IF(IFERROR(VALUE($E29),0)&lt;Parametri!$B$2,"Sotto soglia","")))</f>
        <v/>
      </c>
      <c r="L29" s="21">
        <f>IF($A29="","",$A29&amp;"|"&amp;$C29)</f>
        <v/>
      </c>
      <c r="M29" s="21">
        <f>IF($A29="","",$C29&amp;"|"&amp;TEXT($J29,"0.0000"))</f>
        <v/>
      </c>
    </row>
    <row r="30">
      <c r="A30" s="20" t="n"/>
      <c r="B30" s="20" t="n"/>
      <c r="C30" s="20" t="n"/>
      <c r="D30" s="20" t="n"/>
      <c r="E30" s="20" t="n"/>
      <c r="F30" s="20" t="n"/>
      <c r="G30" s="21">
        <f>IF($A30="","",IF(IFERROR(VALUE($D30),0)&lt;&gt;1,"NO",IF(IFERROR(VALUE($E30),0)&gt;=Parametri!$B$2,"SI","NO")))</f>
        <v/>
      </c>
      <c r="H30" s="21">
        <f>IF($G30="SI",SUMPRODUCT(MAX(($C$2:$C$200=$C30)*(IFERROR($D$2:$D$200*1,0)=1)*(IFERROR($E$2:$E$200*1,0)&gt;=Parametri!$B$2)*IFERROR($F$2:$F$200*1,0))),0)</f>
        <v/>
      </c>
      <c r="I30" s="21">
        <f>IF($G30="SI",IF($H30&gt;0,30*(IFERROR(VALUE($F30),0)/$H30),0),0)</f>
        <v/>
      </c>
      <c r="J30" s="21">
        <f>IF($A30="",0,IF($G30="SI",ROUND(IFERROR(VALUE($E30),0)+$I30,4),ROUND(IFERROR(VALUE($E30),0),4)))</f>
        <v/>
      </c>
      <c r="K30" s="21">
        <f>IF($A30="","",IF(IFERROR(VALUE($D30),0)&lt;&gt;1,"Non attiva",IF(IFERROR(VALUE($E30),0)&lt;Parametri!$B$2,"Sotto soglia","")))</f>
        <v/>
      </c>
      <c r="L30" s="21">
        <f>IF($A30="","",$A30&amp;"|"&amp;$C30)</f>
        <v/>
      </c>
      <c r="M30" s="21">
        <f>IF($A30="","",$C30&amp;"|"&amp;TEXT($J30,"0.0000"))</f>
        <v/>
      </c>
    </row>
    <row r="31">
      <c r="A31" s="20" t="n"/>
      <c r="B31" s="20" t="n"/>
      <c r="C31" s="20" t="n"/>
      <c r="D31" s="20" t="n"/>
      <c r="E31" s="20" t="n"/>
      <c r="F31" s="20" t="n"/>
      <c r="G31" s="21">
        <f>IF($A31="","",IF(IFERROR(VALUE($D31),0)&lt;&gt;1,"NO",IF(IFERROR(VALUE($E31),0)&gt;=Parametri!$B$2,"SI","NO")))</f>
        <v/>
      </c>
      <c r="H31" s="21">
        <f>IF($G31="SI",SUMPRODUCT(MAX(($C$2:$C$200=$C31)*(IFERROR($D$2:$D$200*1,0)=1)*(IFERROR($E$2:$E$200*1,0)&gt;=Parametri!$B$2)*IFERROR($F$2:$F$200*1,0))),0)</f>
        <v/>
      </c>
      <c r="I31" s="21">
        <f>IF($G31="SI",IF($H31&gt;0,30*(IFERROR(VALUE($F31),0)/$H31),0),0)</f>
        <v/>
      </c>
      <c r="J31" s="21">
        <f>IF($A31="",0,IF($G31="SI",ROUND(IFERROR(VALUE($E31),0)+$I31,4),ROUND(IFERROR(VALUE($E31),0),4)))</f>
        <v/>
      </c>
      <c r="K31" s="21">
        <f>IF($A31="","",IF(IFERROR(VALUE($D31),0)&lt;&gt;1,"Non attiva",IF(IFERROR(VALUE($E31),0)&lt;Parametri!$B$2,"Sotto soglia","")))</f>
        <v/>
      </c>
      <c r="L31" s="21">
        <f>IF($A31="","",$A31&amp;"|"&amp;$C31)</f>
        <v/>
      </c>
      <c r="M31" s="21">
        <f>IF($A31="","",$C31&amp;"|"&amp;TEXT($J31,"0.0000"))</f>
        <v/>
      </c>
    </row>
    <row r="32">
      <c r="A32" s="20" t="n"/>
      <c r="B32" s="20" t="n"/>
      <c r="C32" s="20" t="n"/>
      <c r="D32" s="20" t="n"/>
      <c r="E32" s="20" t="n"/>
      <c r="F32" s="20" t="n"/>
      <c r="G32" s="21">
        <f>IF($A32="","",IF(IFERROR(VALUE($D32),0)&lt;&gt;1,"NO",IF(IFERROR(VALUE($E32),0)&gt;=Parametri!$B$2,"SI","NO")))</f>
        <v/>
      </c>
      <c r="H32" s="21">
        <f>IF($G32="SI",SUMPRODUCT(MAX(($C$2:$C$200=$C32)*(IFERROR($D$2:$D$200*1,0)=1)*(IFERROR($E$2:$E$200*1,0)&gt;=Parametri!$B$2)*IFERROR($F$2:$F$200*1,0))),0)</f>
        <v/>
      </c>
      <c r="I32" s="21">
        <f>IF($G32="SI",IF($H32&gt;0,30*(IFERROR(VALUE($F32),0)/$H32),0),0)</f>
        <v/>
      </c>
      <c r="J32" s="21">
        <f>IF($A32="",0,IF($G32="SI",ROUND(IFERROR(VALUE($E32),0)+$I32,4),ROUND(IFERROR(VALUE($E32),0),4)))</f>
        <v/>
      </c>
      <c r="K32" s="21">
        <f>IF($A32="","",IF(IFERROR(VALUE($D32),0)&lt;&gt;1,"Non attiva",IF(IFERROR(VALUE($E32),0)&lt;Parametri!$B$2,"Sotto soglia","")))</f>
        <v/>
      </c>
      <c r="L32" s="21">
        <f>IF($A32="","",$A32&amp;"|"&amp;$C32)</f>
        <v/>
      </c>
      <c r="M32" s="21">
        <f>IF($A32="","",$C32&amp;"|"&amp;TEXT($J32,"0.0000"))</f>
        <v/>
      </c>
    </row>
    <row r="33">
      <c r="A33" s="20" t="n"/>
      <c r="B33" s="20" t="n"/>
      <c r="C33" s="20" t="n"/>
      <c r="D33" s="20" t="n"/>
      <c r="E33" s="20" t="n"/>
      <c r="F33" s="20" t="n"/>
      <c r="G33" s="21">
        <f>IF($A33="","",IF(IFERROR(VALUE($D33),0)&lt;&gt;1,"NO",IF(IFERROR(VALUE($E33),0)&gt;=Parametri!$B$2,"SI","NO")))</f>
        <v/>
      </c>
      <c r="H33" s="21">
        <f>IF($G33="SI",SUMPRODUCT(MAX(($C$2:$C$200=$C33)*(IFERROR($D$2:$D$200*1,0)=1)*(IFERROR($E$2:$E$200*1,0)&gt;=Parametri!$B$2)*IFERROR($F$2:$F$200*1,0))),0)</f>
        <v/>
      </c>
      <c r="I33" s="21">
        <f>IF($G33="SI",IF($H33&gt;0,30*(IFERROR(VALUE($F33),0)/$H33),0),0)</f>
        <v/>
      </c>
      <c r="J33" s="21">
        <f>IF($A33="",0,IF($G33="SI",ROUND(IFERROR(VALUE($E33),0)+$I33,4),ROUND(IFERROR(VALUE($E33),0),4)))</f>
        <v/>
      </c>
      <c r="K33" s="21">
        <f>IF($A33="","",IF(IFERROR(VALUE($D33),0)&lt;&gt;1,"Non attiva",IF(IFERROR(VALUE($E33),0)&lt;Parametri!$B$2,"Sotto soglia","")))</f>
        <v/>
      </c>
      <c r="L33" s="21">
        <f>IF($A33="","",$A33&amp;"|"&amp;$C33)</f>
        <v/>
      </c>
      <c r="M33" s="21">
        <f>IF($A33="","",$C33&amp;"|"&amp;TEXT($J33,"0.0000"))</f>
        <v/>
      </c>
    </row>
    <row r="34">
      <c r="A34" s="20" t="n"/>
      <c r="B34" s="20" t="n"/>
      <c r="C34" s="20" t="n"/>
      <c r="D34" s="20" t="n"/>
      <c r="E34" s="20" t="n"/>
      <c r="F34" s="20" t="n"/>
      <c r="G34" s="21">
        <f>IF($A34="","",IF(IFERROR(VALUE($D34),0)&lt;&gt;1,"NO",IF(IFERROR(VALUE($E34),0)&gt;=Parametri!$B$2,"SI","NO")))</f>
        <v/>
      </c>
      <c r="H34" s="21">
        <f>IF($G34="SI",SUMPRODUCT(MAX(($C$2:$C$200=$C34)*(IFERROR($D$2:$D$200*1,0)=1)*(IFERROR($E$2:$E$200*1,0)&gt;=Parametri!$B$2)*IFERROR($F$2:$F$200*1,0))),0)</f>
        <v/>
      </c>
      <c r="I34" s="21">
        <f>IF($G34="SI",IF($H34&gt;0,30*(IFERROR(VALUE($F34),0)/$H34),0),0)</f>
        <v/>
      </c>
      <c r="J34" s="21">
        <f>IF($A34="",0,IF($G34="SI",ROUND(IFERROR(VALUE($E34),0)+$I34,4),ROUND(IFERROR(VALUE($E34),0),4)))</f>
        <v/>
      </c>
      <c r="K34" s="21">
        <f>IF($A34="","",IF(IFERROR(VALUE($D34),0)&lt;&gt;1,"Non attiva",IF(IFERROR(VALUE($E34),0)&lt;Parametri!$B$2,"Sotto soglia","")))</f>
        <v/>
      </c>
      <c r="L34" s="21">
        <f>IF($A34="","",$A34&amp;"|"&amp;$C34)</f>
        <v/>
      </c>
      <c r="M34" s="21">
        <f>IF($A34="","",$C34&amp;"|"&amp;TEXT($J34,"0.0000"))</f>
        <v/>
      </c>
    </row>
    <row r="35">
      <c r="A35" s="20" t="n"/>
      <c r="B35" s="20" t="n"/>
      <c r="C35" s="20" t="n"/>
      <c r="D35" s="20" t="n"/>
      <c r="E35" s="20" t="n"/>
      <c r="F35" s="20" t="n"/>
      <c r="G35" s="21">
        <f>IF($A35="","",IF(IFERROR(VALUE($D35),0)&lt;&gt;1,"NO",IF(IFERROR(VALUE($E35),0)&gt;=Parametri!$B$2,"SI","NO")))</f>
        <v/>
      </c>
      <c r="H35" s="21">
        <f>IF($G35="SI",SUMPRODUCT(MAX(($C$2:$C$200=$C35)*(IFERROR($D$2:$D$200*1,0)=1)*(IFERROR($E$2:$E$200*1,0)&gt;=Parametri!$B$2)*IFERROR($F$2:$F$200*1,0))),0)</f>
        <v/>
      </c>
      <c r="I35" s="21">
        <f>IF($G35="SI",IF($H35&gt;0,30*(IFERROR(VALUE($F35),0)/$H35),0),0)</f>
        <v/>
      </c>
      <c r="J35" s="21">
        <f>IF($A35="",0,IF($G35="SI",ROUND(IFERROR(VALUE($E35),0)+$I35,4),ROUND(IFERROR(VALUE($E35),0),4)))</f>
        <v/>
      </c>
      <c r="K35" s="21">
        <f>IF($A35="","",IF(IFERROR(VALUE($D35),0)&lt;&gt;1,"Non attiva",IF(IFERROR(VALUE($E35),0)&lt;Parametri!$B$2,"Sotto soglia","")))</f>
        <v/>
      </c>
      <c r="L35" s="21">
        <f>IF($A35="","",$A35&amp;"|"&amp;$C35)</f>
        <v/>
      </c>
      <c r="M35" s="21">
        <f>IF($A35="","",$C35&amp;"|"&amp;TEXT($J35,"0.0000"))</f>
        <v/>
      </c>
    </row>
    <row r="36">
      <c r="A36" s="20" t="n"/>
      <c r="B36" s="20" t="n"/>
      <c r="C36" s="20" t="n"/>
      <c r="D36" s="20" t="n"/>
      <c r="E36" s="20" t="n"/>
      <c r="F36" s="20" t="n"/>
      <c r="G36" s="21">
        <f>IF($A36="","",IF(IFERROR(VALUE($D36),0)&lt;&gt;1,"NO",IF(IFERROR(VALUE($E36),0)&gt;=Parametri!$B$2,"SI","NO")))</f>
        <v/>
      </c>
      <c r="H36" s="21">
        <f>IF($G36="SI",SUMPRODUCT(MAX(($C$2:$C$200=$C36)*(IFERROR($D$2:$D$200*1,0)=1)*(IFERROR($E$2:$E$200*1,0)&gt;=Parametri!$B$2)*IFERROR($F$2:$F$200*1,0))),0)</f>
        <v/>
      </c>
      <c r="I36" s="21">
        <f>IF($G36="SI",IF($H36&gt;0,30*(IFERROR(VALUE($F36),0)/$H36),0),0)</f>
        <v/>
      </c>
      <c r="J36" s="21">
        <f>IF($A36="",0,IF($G36="SI",ROUND(IFERROR(VALUE($E36),0)+$I36,4),ROUND(IFERROR(VALUE($E36),0),4)))</f>
        <v/>
      </c>
      <c r="K36" s="21">
        <f>IF($A36="","",IF(IFERROR(VALUE($D36),0)&lt;&gt;1,"Non attiva",IF(IFERROR(VALUE($E36),0)&lt;Parametri!$B$2,"Sotto soglia","")))</f>
        <v/>
      </c>
      <c r="L36" s="21">
        <f>IF($A36="","",$A36&amp;"|"&amp;$C36)</f>
        <v/>
      </c>
      <c r="M36" s="21">
        <f>IF($A36="","",$C36&amp;"|"&amp;TEXT($J36,"0.0000"))</f>
        <v/>
      </c>
    </row>
    <row r="37">
      <c r="A37" s="20" t="n"/>
      <c r="B37" s="20" t="n"/>
      <c r="C37" s="20" t="n"/>
      <c r="D37" s="20" t="n"/>
      <c r="E37" s="20" t="n"/>
      <c r="F37" s="20" t="n"/>
      <c r="G37" s="21">
        <f>IF($A37="","",IF(IFERROR(VALUE($D37),0)&lt;&gt;1,"NO",IF(IFERROR(VALUE($E37),0)&gt;=Parametri!$B$2,"SI","NO")))</f>
        <v/>
      </c>
      <c r="H37" s="21">
        <f>IF($G37="SI",SUMPRODUCT(MAX(($C$2:$C$200=$C37)*(IFERROR($D$2:$D$200*1,0)=1)*(IFERROR($E$2:$E$200*1,0)&gt;=Parametri!$B$2)*IFERROR($F$2:$F$200*1,0))),0)</f>
        <v/>
      </c>
      <c r="I37" s="21">
        <f>IF($G37="SI",IF($H37&gt;0,30*(IFERROR(VALUE($F37),0)/$H37),0),0)</f>
        <v/>
      </c>
      <c r="J37" s="21">
        <f>IF($A37="",0,IF($G37="SI",ROUND(IFERROR(VALUE($E37),0)+$I37,4),ROUND(IFERROR(VALUE($E37),0),4)))</f>
        <v/>
      </c>
      <c r="K37" s="21">
        <f>IF($A37="","",IF(IFERROR(VALUE($D37),0)&lt;&gt;1,"Non attiva",IF(IFERROR(VALUE($E37),0)&lt;Parametri!$B$2,"Sotto soglia","")))</f>
        <v/>
      </c>
      <c r="L37" s="21">
        <f>IF($A37="","",$A37&amp;"|"&amp;$C37)</f>
        <v/>
      </c>
      <c r="M37" s="21">
        <f>IF($A37="","",$C37&amp;"|"&amp;TEXT($J37,"0.0000"))</f>
        <v/>
      </c>
    </row>
    <row r="38">
      <c r="A38" s="20" t="n"/>
      <c r="B38" s="20" t="n"/>
      <c r="C38" s="20" t="n"/>
      <c r="D38" s="20" t="n"/>
      <c r="E38" s="20" t="n"/>
      <c r="F38" s="20" t="n"/>
      <c r="G38" s="21">
        <f>IF($A38="","",IF(IFERROR(VALUE($D38),0)&lt;&gt;1,"NO",IF(IFERROR(VALUE($E38),0)&gt;=Parametri!$B$2,"SI","NO")))</f>
        <v/>
      </c>
      <c r="H38" s="21">
        <f>IF($G38="SI",SUMPRODUCT(MAX(($C$2:$C$200=$C38)*(IFERROR($D$2:$D$200*1,0)=1)*(IFERROR($E$2:$E$200*1,0)&gt;=Parametri!$B$2)*IFERROR($F$2:$F$200*1,0))),0)</f>
        <v/>
      </c>
      <c r="I38" s="21">
        <f>IF($G38="SI",IF($H38&gt;0,30*(IFERROR(VALUE($F38),0)/$H38),0),0)</f>
        <v/>
      </c>
      <c r="J38" s="21">
        <f>IF($A38="",0,IF($G38="SI",ROUND(IFERROR(VALUE($E38),0)+$I38,4),ROUND(IFERROR(VALUE($E38),0),4)))</f>
        <v/>
      </c>
      <c r="K38" s="21">
        <f>IF($A38="","",IF(IFERROR(VALUE($D38),0)&lt;&gt;1,"Non attiva",IF(IFERROR(VALUE($E38),0)&lt;Parametri!$B$2,"Sotto soglia","")))</f>
        <v/>
      </c>
      <c r="L38" s="21">
        <f>IF($A38="","",$A38&amp;"|"&amp;$C38)</f>
        <v/>
      </c>
      <c r="M38" s="21">
        <f>IF($A38="","",$C38&amp;"|"&amp;TEXT($J38,"0.0000"))</f>
        <v/>
      </c>
    </row>
    <row r="39">
      <c r="A39" s="20" t="n"/>
      <c r="B39" s="20" t="n"/>
      <c r="C39" s="20" t="n"/>
      <c r="D39" s="20" t="n"/>
      <c r="E39" s="20" t="n"/>
      <c r="F39" s="20" t="n"/>
      <c r="G39" s="21">
        <f>IF($A39="","",IF(IFERROR(VALUE($D39),0)&lt;&gt;1,"NO",IF(IFERROR(VALUE($E39),0)&gt;=Parametri!$B$2,"SI","NO")))</f>
        <v/>
      </c>
      <c r="H39" s="21">
        <f>IF($G39="SI",SUMPRODUCT(MAX(($C$2:$C$200=$C39)*(IFERROR($D$2:$D$200*1,0)=1)*(IFERROR($E$2:$E$200*1,0)&gt;=Parametri!$B$2)*IFERROR($F$2:$F$200*1,0))),0)</f>
        <v/>
      </c>
      <c r="I39" s="21">
        <f>IF($G39="SI",IF($H39&gt;0,30*(IFERROR(VALUE($F39),0)/$H39),0),0)</f>
        <v/>
      </c>
      <c r="J39" s="21">
        <f>IF($A39="",0,IF($G39="SI",ROUND(IFERROR(VALUE($E39),0)+$I39,4),ROUND(IFERROR(VALUE($E39),0),4)))</f>
        <v/>
      </c>
      <c r="K39" s="21">
        <f>IF($A39="","",IF(IFERROR(VALUE($D39),0)&lt;&gt;1,"Non attiva",IF(IFERROR(VALUE($E39),0)&lt;Parametri!$B$2,"Sotto soglia","")))</f>
        <v/>
      </c>
      <c r="L39" s="21">
        <f>IF($A39="","",$A39&amp;"|"&amp;$C39)</f>
        <v/>
      </c>
      <c r="M39" s="21">
        <f>IF($A39="","",$C39&amp;"|"&amp;TEXT($J39,"0.0000"))</f>
        <v/>
      </c>
    </row>
    <row r="40">
      <c r="A40" s="20" t="n"/>
      <c r="B40" s="20" t="n"/>
      <c r="C40" s="20" t="n"/>
      <c r="D40" s="20" t="n"/>
      <c r="E40" s="20" t="n"/>
      <c r="F40" s="20" t="n"/>
      <c r="G40" s="21">
        <f>IF($A40="","",IF(IFERROR(VALUE($D40),0)&lt;&gt;1,"NO",IF(IFERROR(VALUE($E40),0)&gt;=Parametri!$B$2,"SI","NO")))</f>
        <v/>
      </c>
      <c r="H40" s="21">
        <f>IF($G40="SI",SUMPRODUCT(MAX(($C$2:$C$200=$C40)*(IFERROR($D$2:$D$200*1,0)=1)*(IFERROR($E$2:$E$200*1,0)&gt;=Parametri!$B$2)*IFERROR($F$2:$F$200*1,0))),0)</f>
        <v/>
      </c>
      <c r="I40" s="21">
        <f>IF($G40="SI",IF($H40&gt;0,30*(IFERROR(VALUE($F40),0)/$H40),0),0)</f>
        <v/>
      </c>
      <c r="J40" s="21">
        <f>IF($A40="",0,IF($G40="SI",ROUND(IFERROR(VALUE($E40),0)+$I40,4),ROUND(IFERROR(VALUE($E40),0),4)))</f>
        <v/>
      </c>
      <c r="K40" s="21">
        <f>IF($A40="","",IF(IFERROR(VALUE($D40),0)&lt;&gt;1,"Non attiva",IF(IFERROR(VALUE($E40),0)&lt;Parametri!$B$2,"Sotto soglia","")))</f>
        <v/>
      </c>
      <c r="L40" s="21">
        <f>IF($A40="","",$A40&amp;"|"&amp;$C40)</f>
        <v/>
      </c>
      <c r="M40" s="21">
        <f>IF($A40="","",$C40&amp;"|"&amp;TEXT($J40,"0.0000"))</f>
        <v/>
      </c>
    </row>
    <row r="41">
      <c r="A41" s="20" t="n"/>
      <c r="B41" s="20" t="n"/>
      <c r="C41" s="20" t="n"/>
      <c r="D41" s="20" t="n"/>
      <c r="E41" s="20" t="n"/>
      <c r="F41" s="20" t="n"/>
      <c r="G41" s="21">
        <f>IF($A41="","",IF(IFERROR(VALUE($D41),0)&lt;&gt;1,"NO",IF(IFERROR(VALUE($E41),0)&gt;=Parametri!$B$2,"SI","NO")))</f>
        <v/>
      </c>
      <c r="H41" s="21">
        <f>IF($G41="SI",SUMPRODUCT(MAX(($C$2:$C$200=$C41)*(IFERROR($D$2:$D$200*1,0)=1)*(IFERROR($E$2:$E$200*1,0)&gt;=Parametri!$B$2)*IFERROR($F$2:$F$200*1,0))),0)</f>
        <v/>
      </c>
      <c r="I41" s="21">
        <f>IF($G41="SI",IF($H41&gt;0,30*(IFERROR(VALUE($F41),0)/$H41),0),0)</f>
        <v/>
      </c>
      <c r="J41" s="21">
        <f>IF($A41="",0,IF($G41="SI",ROUND(IFERROR(VALUE($E41),0)+$I41,4),ROUND(IFERROR(VALUE($E41),0),4)))</f>
        <v/>
      </c>
      <c r="K41" s="21">
        <f>IF($A41="","",IF(IFERROR(VALUE($D41),0)&lt;&gt;1,"Non attiva",IF(IFERROR(VALUE($E41),0)&lt;Parametri!$B$2,"Sotto soglia","")))</f>
        <v/>
      </c>
      <c r="L41" s="21">
        <f>IF($A41="","",$A41&amp;"|"&amp;$C41)</f>
        <v/>
      </c>
      <c r="M41" s="21">
        <f>IF($A41="","",$C41&amp;"|"&amp;TEXT($J41,"0.0000"))</f>
        <v/>
      </c>
    </row>
    <row r="42">
      <c r="A42" s="20" t="n"/>
      <c r="B42" s="20" t="n"/>
      <c r="C42" s="20" t="n"/>
      <c r="D42" s="20" t="n"/>
      <c r="E42" s="20" t="n"/>
      <c r="F42" s="20" t="n"/>
      <c r="G42" s="21">
        <f>IF($A42="","",IF(IFERROR(VALUE($D42),0)&lt;&gt;1,"NO",IF(IFERROR(VALUE($E42),0)&gt;=Parametri!$B$2,"SI","NO")))</f>
        <v/>
      </c>
      <c r="H42" s="21">
        <f>IF($G42="SI",SUMPRODUCT(MAX(($C$2:$C$200=$C42)*(IFERROR($D$2:$D$200*1,0)=1)*(IFERROR($E$2:$E$200*1,0)&gt;=Parametri!$B$2)*IFERROR($F$2:$F$200*1,0))),0)</f>
        <v/>
      </c>
      <c r="I42" s="21">
        <f>IF($G42="SI",IF($H42&gt;0,30*(IFERROR(VALUE($F42),0)/$H42),0),0)</f>
        <v/>
      </c>
      <c r="J42" s="21">
        <f>IF($A42="",0,IF($G42="SI",ROUND(IFERROR(VALUE($E42),0)+$I42,4),ROUND(IFERROR(VALUE($E42),0),4)))</f>
        <v/>
      </c>
      <c r="K42" s="21">
        <f>IF($A42="","",IF(IFERROR(VALUE($D42),0)&lt;&gt;1,"Non attiva",IF(IFERROR(VALUE($E42),0)&lt;Parametri!$B$2,"Sotto soglia","")))</f>
        <v/>
      </c>
      <c r="L42" s="21">
        <f>IF($A42="","",$A42&amp;"|"&amp;$C42)</f>
        <v/>
      </c>
      <c r="M42" s="21">
        <f>IF($A42="","",$C42&amp;"|"&amp;TEXT($J42,"0.0000"))</f>
        <v/>
      </c>
    </row>
    <row r="43">
      <c r="A43" s="20" t="n"/>
      <c r="B43" s="20" t="n"/>
      <c r="C43" s="20" t="n"/>
      <c r="D43" s="20" t="n"/>
      <c r="E43" s="20" t="n"/>
      <c r="F43" s="20" t="n"/>
      <c r="G43" s="21">
        <f>IF($A43="","",IF(IFERROR(VALUE($D43),0)&lt;&gt;1,"NO",IF(IFERROR(VALUE($E43),0)&gt;=Parametri!$B$2,"SI","NO")))</f>
        <v/>
      </c>
      <c r="H43" s="21">
        <f>IF($G43="SI",SUMPRODUCT(MAX(($C$2:$C$200=$C43)*(IFERROR($D$2:$D$200*1,0)=1)*(IFERROR($E$2:$E$200*1,0)&gt;=Parametri!$B$2)*IFERROR($F$2:$F$200*1,0))),0)</f>
        <v/>
      </c>
      <c r="I43" s="21">
        <f>IF($G43="SI",IF($H43&gt;0,30*(IFERROR(VALUE($F43),0)/$H43),0),0)</f>
        <v/>
      </c>
      <c r="J43" s="21">
        <f>IF($A43="",0,IF($G43="SI",ROUND(IFERROR(VALUE($E43),0)+$I43,4),ROUND(IFERROR(VALUE($E43),0),4)))</f>
        <v/>
      </c>
      <c r="K43" s="21">
        <f>IF($A43="","",IF(IFERROR(VALUE($D43),0)&lt;&gt;1,"Non attiva",IF(IFERROR(VALUE($E43),0)&lt;Parametri!$B$2,"Sotto soglia","")))</f>
        <v/>
      </c>
      <c r="L43" s="21">
        <f>IF($A43="","",$A43&amp;"|"&amp;$C43)</f>
        <v/>
      </c>
      <c r="M43" s="21">
        <f>IF($A43="","",$C43&amp;"|"&amp;TEXT($J43,"0.0000"))</f>
        <v/>
      </c>
    </row>
    <row r="44">
      <c r="A44" s="20" t="n"/>
      <c r="B44" s="20" t="n"/>
      <c r="C44" s="20" t="n"/>
      <c r="D44" s="20" t="n"/>
      <c r="E44" s="20" t="n"/>
      <c r="F44" s="20" t="n"/>
      <c r="G44" s="21">
        <f>IF($A44="","",IF(IFERROR(VALUE($D44),0)&lt;&gt;1,"NO",IF(IFERROR(VALUE($E44),0)&gt;=Parametri!$B$2,"SI","NO")))</f>
        <v/>
      </c>
      <c r="H44" s="21">
        <f>IF($G44="SI",SUMPRODUCT(MAX(($C$2:$C$200=$C44)*(IFERROR($D$2:$D$200*1,0)=1)*(IFERROR($E$2:$E$200*1,0)&gt;=Parametri!$B$2)*IFERROR($F$2:$F$200*1,0))),0)</f>
        <v/>
      </c>
      <c r="I44" s="21">
        <f>IF($G44="SI",IF($H44&gt;0,30*(IFERROR(VALUE($F44),0)/$H44),0),0)</f>
        <v/>
      </c>
      <c r="J44" s="21">
        <f>IF($A44="",0,IF($G44="SI",ROUND(IFERROR(VALUE($E44),0)+$I44,4),ROUND(IFERROR(VALUE($E44),0),4)))</f>
        <v/>
      </c>
      <c r="K44" s="21">
        <f>IF($A44="","",IF(IFERROR(VALUE($D44),0)&lt;&gt;1,"Non attiva",IF(IFERROR(VALUE($E44),0)&lt;Parametri!$B$2,"Sotto soglia","")))</f>
        <v/>
      </c>
      <c r="L44" s="21">
        <f>IF($A44="","",$A44&amp;"|"&amp;$C44)</f>
        <v/>
      </c>
      <c r="M44" s="21">
        <f>IF($A44="","",$C44&amp;"|"&amp;TEXT($J44,"0.0000"))</f>
        <v/>
      </c>
    </row>
    <row r="45">
      <c r="A45" s="20" t="n"/>
      <c r="B45" s="20" t="n"/>
      <c r="C45" s="20" t="n"/>
      <c r="D45" s="20" t="n"/>
      <c r="E45" s="20" t="n"/>
      <c r="F45" s="20" t="n"/>
      <c r="G45" s="21">
        <f>IF($A45="","",IF(IFERROR(VALUE($D45),0)&lt;&gt;1,"NO",IF(IFERROR(VALUE($E45),0)&gt;=Parametri!$B$2,"SI","NO")))</f>
        <v/>
      </c>
      <c r="H45" s="21">
        <f>IF($G45="SI",SUMPRODUCT(MAX(($C$2:$C$200=$C45)*(IFERROR($D$2:$D$200*1,0)=1)*(IFERROR($E$2:$E$200*1,0)&gt;=Parametri!$B$2)*IFERROR($F$2:$F$200*1,0))),0)</f>
        <v/>
      </c>
      <c r="I45" s="21">
        <f>IF($G45="SI",IF($H45&gt;0,30*(IFERROR(VALUE($F45),0)/$H45),0),0)</f>
        <v/>
      </c>
      <c r="J45" s="21">
        <f>IF($A45="",0,IF($G45="SI",ROUND(IFERROR(VALUE($E45),0)+$I45,4),ROUND(IFERROR(VALUE($E45),0),4)))</f>
        <v/>
      </c>
      <c r="K45" s="21">
        <f>IF($A45="","",IF(IFERROR(VALUE($D45),0)&lt;&gt;1,"Non attiva",IF(IFERROR(VALUE($E45),0)&lt;Parametri!$B$2,"Sotto soglia","")))</f>
        <v/>
      </c>
      <c r="L45" s="21">
        <f>IF($A45="","",$A45&amp;"|"&amp;$C45)</f>
        <v/>
      </c>
      <c r="M45" s="21">
        <f>IF($A45="","",$C45&amp;"|"&amp;TEXT($J45,"0.0000"))</f>
        <v/>
      </c>
    </row>
    <row r="46">
      <c r="A46" s="20" t="n"/>
      <c r="B46" s="20" t="n"/>
      <c r="C46" s="20" t="n"/>
      <c r="D46" s="20" t="n"/>
      <c r="E46" s="20" t="n"/>
      <c r="F46" s="20" t="n"/>
      <c r="G46" s="21">
        <f>IF($A46="","",IF(IFERROR(VALUE($D46),0)&lt;&gt;1,"NO",IF(IFERROR(VALUE($E46),0)&gt;=Parametri!$B$2,"SI","NO")))</f>
        <v/>
      </c>
      <c r="H46" s="21">
        <f>IF($G46="SI",SUMPRODUCT(MAX(($C$2:$C$200=$C46)*(IFERROR($D$2:$D$200*1,0)=1)*(IFERROR($E$2:$E$200*1,0)&gt;=Parametri!$B$2)*IFERROR($F$2:$F$200*1,0))),0)</f>
        <v/>
      </c>
      <c r="I46" s="21">
        <f>IF($G46="SI",IF($H46&gt;0,30*(IFERROR(VALUE($F46),0)/$H46),0),0)</f>
        <v/>
      </c>
      <c r="J46" s="21">
        <f>IF($A46="",0,IF($G46="SI",ROUND(IFERROR(VALUE($E46),0)+$I46,4),ROUND(IFERROR(VALUE($E46),0),4)))</f>
        <v/>
      </c>
      <c r="K46" s="21">
        <f>IF($A46="","",IF(IFERROR(VALUE($D46),0)&lt;&gt;1,"Non attiva",IF(IFERROR(VALUE($E46),0)&lt;Parametri!$B$2,"Sotto soglia","")))</f>
        <v/>
      </c>
      <c r="L46" s="21">
        <f>IF($A46="","",$A46&amp;"|"&amp;$C46)</f>
        <v/>
      </c>
      <c r="M46" s="21">
        <f>IF($A46="","",$C46&amp;"|"&amp;TEXT($J46,"0.0000"))</f>
        <v/>
      </c>
    </row>
    <row r="47">
      <c r="A47" s="20" t="n"/>
      <c r="B47" s="20" t="n"/>
      <c r="C47" s="20" t="n"/>
      <c r="D47" s="20" t="n"/>
      <c r="E47" s="20" t="n"/>
      <c r="F47" s="20" t="n"/>
      <c r="G47" s="21">
        <f>IF($A47="","",IF(IFERROR(VALUE($D47),0)&lt;&gt;1,"NO",IF(IFERROR(VALUE($E47),0)&gt;=Parametri!$B$2,"SI","NO")))</f>
        <v/>
      </c>
      <c r="H47" s="21">
        <f>IF($G47="SI",SUMPRODUCT(MAX(($C$2:$C$200=$C47)*(IFERROR($D$2:$D$200*1,0)=1)*(IFERROR($E$2:$E$200*1,0)&gt;=Parametri!$B$2)*IFERROR($F$2:$F$200*1,0))),0)</f>
        <v/>
      </c>
      <c r="I47" s="21">
        <f>IF($G47="SI",IF($H47&gt;0,30*(IFERROR(VALUE($F47),0)/$H47),0),0)</f>
        <v/>
      </c>
      <c r="J47" s="21">
        <f>IF($A47="",0,IF($G47="SI",ROUND(IFERROR(VALUE($E47),0)+$I47,4),ROUND(IFERROR(VALUE($E47),0),4)))</f>
        <v/>
      </c>
      <c r="K47" s="21">
        <f>IF($A47="","",IF(IFERROR(VALUE($D47),0)&lt;&gt;1,"Non attiva",IF(IFERROR(VALUE($E47),0)&lt;Parametri!$B$2,"Sotto soglia","")))</f>
        <v/>
      </c>
      <c r="L47" s="21">
        <f>IF($A47="","",$A47&amp;"|"&amp;$C47)</f>
        <v/>
      </c>
      <c r="M47" s="21">
        <f>IF($A47="","",$C47&amp;"|"&amp;TEXT($J47,"0.0000"))</f>
        <v/>
      </c>
    </row>
    <row r="48">
      <c r="A48" s="20" t="n"/>
      <c r="B48" s="20" t="n"/>
      <c r="C48" s="20" t="n"/>
      <c r="D48" s="20" t="n"/>
      <c r="E48" s="20" t="n"/>
      <c r="F48" s="20" t="n"/>
      <c r="G48" s="21">
        <f>IF($A48="","",IF(IFERROR(VALUE($D48),0)&lt;&gt;1,"NO",IF(IFERROR(VALUE($E48),0)&gt;=Parametri!$B$2,"SI","NO")))</f>
        <v/>
      </c>
      <c r="H48" s="21">
        <f>IF($G48="SI",SUMPRODUCT(MAX(($C$2:$C$200=$C48)*(IFERROR($D$2:$D$200*1,0)=1)*(IFERROR($E$2:$E$200*1,0)&gt;=Parametri!$B$2)*IFERROR($F$2:$F$200*1,0))),0)</f>
        <v/>
      </c>
      <c r="I48" s="21">
        <f>IF($G48="SI",IF($H48&gt;0,30*(IFERROR(VALUE($F48),0)/$H48),0),0)</f>
        <v/>
      </c>
      <c r="J48" s="21">
        <f>IF($A48="",0,IF($G48="SI",ROUND(IFERROR(VALUE($E48),0)+$I48,4),ROUND(IFERROR(VALUE($E48),0),4)))</f>
        <v/>
      </c>
      <c r="K48" s="21">
        <f>IF($A48="","",IF(IFERROR(VALUE($D48),0)&lt;&gt;1,"Non attiva",IF(IFERROR(VALUE($E48),0)&lt;Parametri!$B$2,"Sotto soglia","")))</f>
        <v/>
      </c>
      <c r="L48" s="21">
        <f>IF($A48="","",$A48&amp;"|"&amp;$C48)</f>
        <v/>
      </c>
      <c r="M48" s="21">
        <f>IF($A48="","",$C48&amp;"|"&amp;TEXT($J48,"0.0000"))</f>
        <v/>
      </c>
    </row>
    <row r="49">
      <c r="A49" s="20" t="n"/>
      <c r="B49" s="20" t="n"/>
      <c r="C49" s="20" t="n"/>
      <c r="D49" s="20" t="n"/>
      <c r="E49" s="20" t="n"/>
      <c r="F49" s="20" t="n"/>
      <c r="G49" s="21">
        <f>IF($A49="","",IF(IFERROR(VALUE($D49),0)&lt;&gt;1,"NO",IF(IFERROR(VALUE($E49),0)&gt;=Parametri!$B$2,"SI","NO")))</f>
        <v/>
      </c>
      <c r="H49" s="21">
        <f>IF($G49="SI",SUMPRODUCT(MAX(($C$2:$C$200=$C49)*(IFERROR($D$2:$D$200*1,0)=1)*(IFERROR($E$2:$E$200*1,0)&gt;=Parametri!$B$2)*IFERROR($F$2:$F$200*1,0))),0)</f>
        <v/>
      </c>
      <c r="I49" s="21">
        <f>IF($G49="SI",IF($H49&gt;0,30*(IFERROR(VALUE($F49),0)/$H49),0),0)</f>
        <v/>
      </c>
      <c r="J49" s="21">
        <f>IF($A49="",0,IF($G49="SI",ROUND(IFERROR(VALUE($E49),0)+$I49,4),ROUND(IFERROR(VALUE($E49),0),4)))</f>
        <v/>
      </c>
      <c r="K49" s="21">
        <f>IF($A49="","",IF(IFERROR(VALUE($D49),0)&lt;&gt;1,"Non attiva",IF(IFERROR(VALUE($E49),0)&lt;Parametri!$B$2,"Sotto soglia","")))</f>
        <v/>
      </c>
      <c r="L49" s="21">
        <f>IF($A49="","",$A49&amp;"|"&amp;$C49)</f>
        <v/>
      </c>
      <c r="M49" s="21">
        <f>IF($A49="","",$C49&amp;"|"&amp;TEXT($J49,"0.0000"))</f>
        <v/>
      </c>
    </row>
    <row r="50">
      <c r="A50" s="20" t="n"/>
      <c r="B50" s="20" t="n"/>
      <c r="C50" s="20" t="n"/>
      <c r="D50" s="20" t="n"/>
      <c r="E50" s="20" t="n"/>
      <c r="F50" s="20" t="n"/>
      <c r="G50" s="21">
        <f>IF($A50="","",IF(IFERROR(VALUE($D50),0)&lt;&gt;1,"NO",IF(IFERROR(VALUE($E50),0)&gt;=Parametri!$B$2,"SI","NO")))</f>
        <v/>
      </c>
      <c r="H50" s="21">
        <f>IF($G50="SI",SUMPRODUCT(MAX(($C$2:$C$200=$C50)*(IFERROR($D$2:$D$200*1,0)=1)*(IFERROR($E$2:$E$200*1,0)&gt;=Parametri!$B$2)*IFERROR($F$2:$F$200*1,0))),0)</f>
        <v/>
      </c>
      <c r="I50" s="21">
        <f>IF($G50="SI",IF($H50&gt;0,30*(IFERROR(VALUE($F50),0)/$H50),0),0)</f>
        <v/>
      </c>
      <c r="J50" s="21">
        <f>IF($A50="",0,IF($G50="SI",ROUND(IFERROR(VALUE($E50),0)+$I50,4),ROUND(IFERROR(VALUE($E50),0),4)))</f>
        <v/>
      </c>
      <c r="K50" s="21">
        <f>IF($A50="","",IF(IFERROR(VALUE($D50),0)&lt;&gt;1,"Non attiva",IF(IFERROR(VALUE($E50),0)&lt;Parametri!$B$2,"Sotto soglia","")))</f>
        <v/>
      </c>
      <c r="L50" s="21">
        <f>IF($A50="","",$A50&amp;"|"&amp;$C50)</f>
        <v/>
      </c>
      <c r="M50" s="21">
        <f>IF($A50="","",$C50&amp;"|"&amp;TEXT($J50,"0.0000"))</f>
        <v/>
      </c>
    </row>
    <row r="51">
      <c r="A51" s="20" t="n"/>
      <c r="B51" s="20" t="n"/>
      <c r="C51" s="20" t="n"/>
      <c r="D51" s="20" t="n"/>
      <c r="E51" s="20" t="n"/>
      <c r="F51" s="20" t="n"/>
      <c r="G51" s="21">
        <f>IF($A51="","",IF(IFERROR(VALUE($D51),0)&lt;&gt;1,"NO",IF(IFERROR(VALUE($E51),0)&gt;=Parametri!$B$2,"SI","NO")))</f>
        <v/>
      </c>
      <c r="H51" s="21">
        <f>IF($G51="SI",SUMPRODUCT(MAX(($C$2:$C$200=$C51)*(IFERROR($D$2:$D$200*1,0)=1)*(IFERROR($E$2:$E$200*1,0)&gt;=Parametri!$B$2)*IFERROR($F$2:$F$200*1,0))),0)</f>
        <v/>
      </c>
      <c r="I51" s="21">
        <f>IF($G51="SI",IF($H51&gt;0,30*(IFERROR(VALUE($F51),0)/$H51),0),0)</f>
        <v/>
      </c>
      <c r="J51" s="21">
        <f>IF($A51="",0,IF($G51="SI",ROUND(IFERROR(VALUE($E51),0)+$I51,4),ROUND(IFERROR(VALUE($E51),0),4)))</f>
        <v/>
      </c>
      <c r="K51" s="21">
        <f>IF($A51="","",IF(IFERROR(VALUE($D51),0)&lt;&gt;1,"Non attiva",IF(IFERROR(VALUE($E51),0)&lt;Parametri!$B$2,"Sotto soglia","")))</f>
        <v/>
      </c>
      <c r="L51" s="21">
        <f>IF($A51="","",$A51&amp;"|"&amp;$C51)</f>
        <v/>
      </c>
      <c r="M51" s="21">
        <f>IF($A51="","",$C51&amp;"|"&amp;TEXT($J51,"0.0000"))</f>
        <v/>
      </c>
    </row>
    <row r="52">
      <c r="A52" s="20" t="n"/>
      <c r="B52" s="20" t="n"/>
      <c r="C52" s="20" t="n"/>
      <c r="D52" s="20" t="n"/>
      <c r="E52" s="20" t="n"/>
      <c r="F52" s="20" t="n"/>
      <c r="G52" s="21">
        <f>IF($A52="","",IF(IFERROR(VALUE($D52),0)&lt;&gt;1,"NO",IF(IFERROR(VALUE($E52),0)&gt;=Parametri!$B$2,"SI","NO")))</f>
        <v/>
      </c>
      <c r="H52" s="21">
        <f>IF($G52="SI",SUMPRODUCT(MAX(($C$2:$C$200=$C52)*(IFERROR($D$2:$D$200*1,0)=1)*(IFERROR($E$2:$E$200*1,0)&gt;=Parametri!$B$2)*IFERROR($F$2:$F$200*1,0))),0)</f>
        <v/>
      </c>
      <c r="I52" s="21">
        <f>IF($G52="SI",IF($H52&gt;0,30*(IFERROR(VALUE($F52),0)/$H52),0),0)</f>
        <v/>
      </c>
      <c r="J52" s="21">
        <f>IF($A52="",0,IF($G52="SI",ROUND(IFERROR(VALUE($E52),0)+$I52,4),ROUND(IFERROR(VALUE($E52),0),4)))</f>
        <v/>
      </c>
      <c r="K52" s="21">
        <f>IF($A52="","",IF(IFERROR(VALUE($D52),0)&lt;&gt;1,"Non attiva",IF(IFERROR(VALUE($E52),0)&lt;Parametri!$B$2,"Sotto soglia","")))</f>
        <v/>
      </c>
      <c r="L52" s="21">
        <f>IF($A52="","",$A52&amp;"|"&amp;$C52)</f>
        <v/>
      </c>
      <c r="M52" s="21">
        <f>IF($A52="","",$C52&amp;"|"&amp;TEXT($J52,"0.0000"))</f>
        <v/>
      </c>
    </row>
    <row r="53">
      <c r="A53" s="20" t="n"/>
      <c r="B53" s="20" t="n"/>
      <c r="C53" s="20" t="n"/>
      <c r="D53" s="20" t="n"/>
      <c r="E53" s="20" t="n"/>
      <c r="F53" s="20" t="n"/>
      <c r="G53" s="21">
        <f>IF($A53="","",IF(IFERROR(VALUE($D53),0)&lt;&gt;1,"NO",IF(IFERROR(VALUE($E53),0)&gt;=Parametri!$B$2,"SI","NO")))</f>
        <v/>
      </c>
      <c r="H53" s="21">
        <f>IF($G53="SI",SUMPRODUCT(MAX(($C$2:$C$200=$C53)*(IFERROR($D$2:$D$200*1,0)=1)*(IFERROR($E$2:$E$200*1,0)&gt;=Parametri!$B$2)*IFERROR($F$2:$F$200*1,0))),0)</f>
        <v/>
      </c>
      <c r="I53" s="21">
        <f>IF($G53="SI",IF($H53&gt;0,30*(IFERROR(VALUE($F53),0)/$H53),0),0)</f>
        <v/>
      </c>
      <c r="J53" s="21">
        <f>IF($A53="",0,IF($G53="SI",ROUND(IFERROR(VALUE($E53),0)+$I53,4),ROUND(IFERROR(VALUE($E53),0),4)))</f>
        <v/>
      </c>
      <c r="K53" s="21">
        <f>IF($A53="","",IF(IFERROR(VALUE($D53),0)&lt;&gt;1,"Non attiva",IF(IFERROR(VALUE($E53),0)&lt;Parametri!$B$2,"Sotto soglia","")))</f>
        <v/>
      </c>
      <c r="L53" s="21">
        <f>IF($A53="","",$A53&amp;"|"&amp;$C53)</f>
        <v/>
      </c>
      <c r="M53" s="21">
        <f>IF($A53="","",$C53&amp;"|"&amp;TEXT($J53,"0.0000"))</f>
        <v/>
      </c>
    </row>
    <row r="54">
      <c r="A54" s="20" t="n"/>
      <c r="B54" s="20" t="n"/>
      <c r="C54" s="20" t="n"/>
      <c r="D54" s="20" t="n"/>
      <c r="E54" s="20" t="n"/>
      <c r="F54" s="20" t="n"/>
      <c r="G54" s="21">
        <f>IF($A54="","",IF(IFERROR(VALUE($D54),0)&lt;&gt;1,"NO",IF(IFERROR(VALUE($E54),0)&gt;=Parametri!$B$2,"SI","NO")))</f>
        <v/>
      </c>
      <c r="H54" s="21">
        <f>IF($G54="SI",SUMPRODUCT(MAX(($C$2:$C$200=$C54)*(IFERROR($D$2:$D$200*1,0)=1)*(IFERROR($E$2:$E$200*1,0)&gt;=Parametri!$B$2)*IFERROR($F$2:$F$200*1,0))),0)</f>
        <v/>
      </c>
      <c r="I54" s="21">
        <f>IF($G54="SI",IF($H54&gt;0,30*(IFERROR(VALUE($F54),0)/$H54),0),0)</f>
        <v/>
      </c>
      <c r="J54" s="21">
        <f>IF($A54="",0,IF($G54="SI",ROUND(IFERROR(VALUE($E54),0)+$I54,4),ROUND(IFERROR(VALUE($E54),0),4)))</f>
        <v/>
      </c>
      <c r="K54" s="21">
        <f>IF($A54="","",IF(IFERROR(VALUE($D54),0)&lt;&gt;1,"Non attiva",IF(IFERROR(VALUE($E54),0)&lt;Parametri!$B$2,"Sotto soglia","")))</f>
        <v/>
      </c>
      <c r="L54" s="21">
        <f>IF($A54="","",$A54&amp;"|"&amp;$C54)</f>
        <v/>
      </c>
      <c r="M54" s="21">
        <f>IF($A54="","",$C54&amp;"|"&amp;TEXT($J54,"0.0000"))</f>
        <v/>
      </c>
    </row>
    <row r="55">
      <c r="A55" s="20" t="n"/>
      <c r="B55" s="20" t="n"/>
      <c r="C55" s="20" t="n"/>
      <c r="D55" s="20" t="n"/>
      <c r="E55" s="20" t="n"/>
      <c r="F55" s="20" t="n"/>
      <c r="G55" s="21">
        <f>IF($A55="","",IF(IFERROR(VALUE($D55),0)&lt;&gt;1,"NO",IF(IFERROR(VALUE($E55),0)&gt;=Parametri!$B$2,"SI","NO")))</f>
        <v/>
      </c>
      <c r="H55" s="21">
        <f>IF($G55="SI",SUMPRODUCT(MAX(($C$2:$C$200=$C55)*(IFERROR($D$2:$D$200*1,0)=1)*(IFERROR($E$2:$E$200*1,0)&gt;=Parametri!$B$2)*IFERROR($F$2:$F$200*1,0))),0)</f>
        <v/>
      </c>
      <c r="I55" s="21">
        <f>IF($G55="SI",IF($H55&gt;0,30*(IFERROR(VALUE($F55),0)/$H55),0),0)</f>
        <v/>
      </c>
      <c r="J55" s="21">
        <f>IF($A55="",0,IF($G55="SI",ROUND(IFERROR(VALUE($E55),0)+$I55,4),ROUND(IFERROR(VALUE($E55),0),4)))</f>
        <v/>
      </c>
      <c r="K55" s="21">
        <f>IF($A55="","",IF(IFERROR(VALUE($D55),0)&lt;&gt;1,"Non attiva",IF(IFERROR(VALUE($E55),0)&lt;Parametri!$B$2,"Sotto soglia","")))</f>
        <v/>
      </c>
      <c r="L55" s="21">
        <f>IF($A55="","",$A55&amp;"|"&amp;$C55)</f>
        <v/>
      </c>
      <c r="M55" s="21">
        <f>IF($A55="","",$C55&amp;"|"&amp;TEXT($J55,"0.0000"))</f>
        <v/>
      </c>
    </row>
    <row r="56">
      <c r="A56" s="20" t="n"/>
      <c r="B56" s="20" t="n"/>
      <c r="C56" s="20" t="n"/>
      <c r="D56" s="20" t="n"/>
      <c r="E56" s="20" t="n"/>
      <c r="F56" s="20" t="n"/>
      <c r="G56" s="21">
        <f>IF($A56="","",IF(IFERROR(VALUE($D56),0)&lt;&gt;1,"NO",IF(IFERROR(VALUE($E56),0)&gt;=Parametri!$B$2,"SI","NO")))</f>
        <v/>
      </c>
      <c r="H56" s="21">
        <f>IF($G56="SI",SUMPRODUCT(MAX(($C$2:$C$200=$C56)*(IFERROR($D$2:$D$200*1,0)=1)*(IFERROR($E$2:$E$200*1,0)&gt;=Parametri!$B$2)*IFERROR($F$2:$F$200*1,0))),0)</f>
        <v/>
      </c>
      <c r="I56" s="21">
        <f>IF($G56="SI",IF($H56&gt;0,30*(IFERROR(VALUE($F56),0)/$H56),0),0)</f>
        <v/>
      </c>
      <c r="J56" s="21">
        <f>IF($A56="",0,IF($G56="SI",ROUND(IFERROR(VALUE($E56),0)+$I56,4),ROUND(IFERROR(VALUE($E56),0),4)))</f>
        <v/>
      </c>
      <c r="K56" s="21">
        <f>IF($A56="","",IF(IFERROR(VALUE($D56),0)&lt;&gt;1,"Non attiva",IF(IFERROR(VALUE($E56),0)&lt;Parametri!$B$2,"Sotto soglia","")))</f>
        <v/>
      </c>
      <c r="L56" s="21">
        <f>IF($A56="","",$A56&amp;"|"&amp;$C56)</f>
        <v/>
      </c>
      <c r="M56" s="21">
        <f>IF($A56="","",$C56&amp;"|"&amp;TEXT($J56,"0.0000"))</f>
        <v/>
      </c>
    </row>
    <row r="57">
      <c r="A57" s="20" t="n"/>
      <c r="B57" s="20" t="n"/>
      <c r="C57" s="20" t="n"/>
      <c r="D57" s="20" t="n"/>
      <c r="E57" s="20" t="n"/>
      <c r="F57" s="20" t="n"/>
      <c r="G57" s="21">
        <f>IF($A57="","",IF(IFERROR(VALUE($D57),0)&lt;&gt;1,"NO",IF(IFERROR(VALUE($E57),0)&gt;=Parametri!$B$2,"SI","NO")))</f>
        <v/>
      </c>
      <c r="H57" s="21">
        <f>IF($G57="SI",SUMPRODUCT(MAX(($C$2:$C$200=$C57)*(IFERROR($D$2:$D$200*1,0)=1)*(IFERROR($E$2:$E$200*1,0)&gt;=Parametri!$B$2)*IFERROR($F$2:$F$200*1,0))),0)</f>
        <v/>
      </c>
      <c r="I57" s="21">
        <f>IF($G57="SI",IF($H57&gt;0,30*(IFERROR(VALUE($F57),0)/$H57),0),0)</f>
        <v/>
      </c>
      <c r="J57" s="21">
        <f>IF($A57="",0,IF($G57="SI",ROUND(IFERROR(VALUE($E57),0)+$I57,4),ROUND(IFERROR(VALUE($E57),0),4)))</f>
        <v/>
      </c>
      <c r="K57" s="21">
        <f>IF($A57="","",IF(IFERROR(VALUE($D57),0)&lt;&gt;1,"Non attiva",IF(IFERROR(VALUE($E57),0)&lt;Parametri!$B$2,"Sotto soglia","")))</f>
        <v/>
      </c>
      <c r="L57" s="21">
        <f>IF($A57="","",$A57&amp;"|"&amp;$C57)</f>
        <v/>
      </c>
      <c r="M57" s="21">
        <f>IF($A57="","",$C57&amp;"|"&amp;TEXT($J57,"0.0000"))</f>
        <v/>
      </c>
    </row>
    <row r="58">
      <c r="A58" s="20" t="n"/>
      <c r="B58" s="20" t="n"/>
      <c r="C58" s="20" t="n"/>
      <c r="D58" s="20" t="n"/>
      <c r="E58" s="20" t="n"/>
      <c r="F58" s="20" t="n"/>
      <c r="G58" s="21">
        <f>IF($A58="","",IF(IFERROR(VALUE($D58),0)&lt;&gt;1,"NO",IF(IFERROR(VALUE($E58),0)&gt;=Parametri!$B$2,"SI","NO")))</f>
        <v/>
      </c>
      <c r="H58" s="21">
        <f>IF($G58="SI",SUMPRODUCT(MAX(($C$2:$C$200=$C58)*(IFERROR($D$2:$D$200*1,0)=1)*(IFERROR($E$2:$E$200*1,0)&gt;=Parametri!$B$2)*IFERROR($F$2:$F$200*1,0))),0)</f>
        <v/>
      </c>
      <c r="I58" s="21">
        <f>IF($G58="SI",IF($H58&gt;0,30*(IFERROR(VALUE($F58),0)/$H58),0),0)</f>
        <v/>
      </c>
      <c r="J58" s="21">
        <f>IF($A58="",0,IF($G58="SI",ROUND(IFERROR(VALUE($E58),0)+$I58,4),ROUND(IFERROR(VALUE($E58),0),4)))</f>
        <v/>
      </c>
      <c r="K58" s="21">
        <f>IF($A58="","",IF(IFERROR(VALUE($D58),0)&lt;&gt;1,"Non attiva",IF(IFERROR(VALUE($E58),0)&lt;Parametri!$B$2,"Sotto soglia","")))</f>
        <v/>
      </c>
      <c r="L58" s="21">
        <f>IF($A58="","",$A58&amp;"|"&amp;$C58)</f>
        <v/>
      </c>
      <c r="M58" s="21">
        <f>IF($A58="","",$C58&amp;"|"&amp;TEXT($J58,"0.0000"))</f>
        <v/>
      </c>
    </row>
    <row r="59">
      <c r="A59" s="20" t="n"/>
      <c r="B59" s="20" t="n"/>
      <c r="C59" s="20" t="n"/>
      <c r="D59" s="20" t="n"/>
      <c r="E59" s="20" t="n"/>
      <c r="F59" s="20" t="n"/>
      <c r="G59" s="21">
        <f>IF($A59="","",IF(IFERROR(VALUE($D59),0)&lt;&gt;1,"NO",IF(IFERROR(VALUE($E59),0)&gt;=Parametri!$B$2,"SI","NO")))</f>
        <v/>
      </c>
      <c r="H59" s="21">
        <f>IF($G59="SI",SUMPRODUCT(MAX(($C$2:$C$200=$C59)*(IFERROR($D$2:$D$200*1,0)=1)*(IFERROR($E$2:$E$200*1,0)&gt;=Parametri!$B$2)*IFERROR($F$2:$F$200*1,0))),0)</f>
        <v/>
      </c>
      <c r="I59" s="21">
        <f>IF($G59="SI",IF($H59&gt;0,30*(IFERROR(VALUE($F59),0)/$H59),0),0)</f>
        <v/>
      </c>
      <c r="J59" s="21">
        <f>IF($A59="",0,IF($G59="SI",ROUND(IFERROR(VALUE($E59),0)+$I59,4),ROUND(IFERROR(VALUE($E59),0),4)))</f>
        <v/>
      </c>
      <c r="K59" s="21">
        <f>IF($A59="","",IF(IFERROR(VALUE($D59),0)&lt;&gt;1,"Non attiva",IF(IFERROR(VALUE($E59),0)&lt;Parametri!$B$2,"Sotto soglia","")))</f>
        <v/>
      </c>
      <c r="L59" s="21">
        <f>IF($A59="","",$A59&amp;"|"&amp;$C59)</f>
        <v/>
      </c>
      <c r="M59" s="21">
        <f>IF($A59="","",$C59&amp;"|"&amp;TEXT($J59,"0.0000"))</f>
        <v/>
      </c>
    </row>
    <row r="60">
      <c r="A60" s="20" t="n"/>
      <c r="B60" s="20" t="n"/>
      <c r="C60" s="20" t="n"/>
      <c r="D60" s="20" t="n"/>
      <c r="E60" s="20" t="n"/>
      <c r="F60" s="20" t="n"/>
      <c r="G60" s="21">
        <f>IF($A60="","",IF(IFERROR(VALUE($D60),0)&lt;&gt;1,"NO",IF(IFERROR(VALUE($E60),0)&gt;=Parametri!$B$2,"SI","NO")))</f>
        <v/>
      </c>
      <c r="H60" s="21">
        <f>IF($G60="SI",SUMPRODUCT(MAX(($C$2:$C$200=$C60)*(IFERROR($D$2:$D$200*1,0)=1)*(IFERROR($E$2:$E$200*1,0)&gt;=Parametri!$B$2)*IFERROR($F$2:$F$200*1,0))),0)</f>
        <v/>
      </c>
      <c r="I60" s="21">
        <f>IF($G60="SI",IF($H60&gt;0,30*(IFERROR(VALUE($F60),0)/$H60),0),0)</f>
        <v/>
      </c>
      <c r="J60" s="21">
        <f>IF($A60="",0,IF($G60="SI",ROUND(IFERROR(VALUE($E60),0)+$I60,4),ROUND(IFERROR(VALUE($E60),0),4)))</f>
        <v/>
      </c>
      <c r="K60" s="21">
        <f>IF($A60="","",IF(IFERROR(VALUE($D60),0)&lt;&gt;1,"Non attiva",IF(IFERROR(VALUE($E60),0)&lt;Parametri!$B$2,"Sotto soglia","")))</f>
        <v/>
      </c>
      <c r="L60" s="21">
        <f>IF($A60="","",$A60&amp;"|"&amp;$C60)</f>
        <v/>
      </c>
      <c r="M60" s="21">
        <f>IF($A60="","",$C60&amp;"|"&amp;TEXT($J60,"0.0000"))</f>
        <v/>
      </c>
    </row>
    <row r="61">
      <c r="A61" s="20" t="n"/>
      <c r="B61" s="20" t="n"/>
      <c r="C61" s="20" t="n"/>
      <c r="D61" s="20" t="n"/>
      <c r="E61" s="20" t="n"/>
      <c r="F61" s="20" t="n"/>
      <c r="G61" s="21">
        <f>IF($A61="","",IF(IFERROR(VALUE($D61),0)&lt;&gt;1,"NO",IF(IFERROR(VALUE($E61),0)&gt;=Parametri!$B$2,"SI","NO")))</f>
        <v/>
      </c>
      <c r="H61" s="21">
        <f>IF($G61="SI",SUMPRODUCT(MAX(($C$2:$C$200=$C61)*(IFERROR($D$2:$D$200*1,0)=1)*(IFERROR($E$2:$E$200*1,0)&gt;=Parametri!$B$2)*IFERROR($F$2:$F$200*1,0))),0)</f>
        <v/>
      </c>
      <c r="I61" s="21">
        <f>IF($G61="SI",IF($H61&gt;0,30*(IFERROR(VALUE($F61),0)/$H61),0),0)</f>
        <v/>
      </c>
      <c r="J61" s="21">
        <f>IF($A61="",0,IF($G61="SI",ROUND(IFERROR(VALUE($E61),0)+$I61,4),ROUND(IFERROR(VALUE($E61),0),4)))</f>
        <v/>
      </c>
      <c r="K61" s="21">
        <f>IF($A61="","",IF(IFERROR(VALUE($D61),0)&lt;&gt;1,"Non attiva",IF(IFERROR(VALUE($E61),0)&lt;Parametri!$B$2,"Sotto soglia","")))</f>
        <v/>
      </c>
      <c r="L61" s="21">
        <f>IF($A61="","",$A61&amp;"|"&amp;$C61)</f>
        <v/>
      </c>
      <c r="M61" s="21">
        <f>IF($A61="","",$C61&amp;"|"&amp;TEXT($J61,"0.0000"))</f>
        <v/>
      </c>
    </row>
    <row r="62">
      <c r="A62" s="20" t="n"/>
      <c r="B62" s="20" t="n"/>
      <c r="C62" s="20" t="n"/>
      <c r="D62" s="20" t="n"/>
      <c r="E62" s="20" t="n"/>
      <c r="F62" s="20" t="n"/>
      <c r="G62" s="21">
        <f>IF($A62="","",IF(IFERROR(VALUE($D62),0)&lt;&gt;1,"NO",IF(IFERROR(VALUE($E62),0)&gt;=Parametri!$B$2,"SI","NO")))</f>
        <v/>
      </c>
      <c r="H62" s="21">
        <f>IF($G62="SI",SUMPRODUCT(MAX(($C$2:$C$200=$C62)*(IFERROR($D$2:$D$200*1,0)=1)*(IFERROR($E$2:$E$200*1,0)&gt;=Parametri!$B$2)*IFERROR($F$2:$F$200*1,0))),0)</f>
        <v/>
      </c>
      <c r="I62" s="21">
        <f>IF($G62="SI",IF($H62&gt;0,30*(IFERROR(VALUE($F62),0)/$H62),0),0)</f>
        <v/>
      </c>
      <c r="J62" s="21">
        <f>IF($A62="",0,IF($G62="SI",ROUND(IFERROR(VALUE($E62),0)+$I62,4),ROUND(IFERROR(VALUE($E62),0),4)))</f>
        <v/>
      </c>
      <c r="K62" s="21">
        <f>IF($A62="","",IF(IFERROR(VALUE($D62),0)&lt;&gt;1,"Non attiva",IF(IFERROR(VALUE($E62),0)&lt;Parametri!$B$2,"Sotto soglia","")))</f>
        <v/>
      </c>
      <c r="L62" s="21">
        <f>IF($A62="","",$A62&amp;"|"&amp;$C62)</f>
        <v/>
      </c>
      <c r="M62" s="21">
        <f>IF($A62="","",$C62&amp;"|"&amp;TEXT($J62,"0.0000"))</f>
        <v/>
      </c>
    </row>
    <row r="63">
      <c r="A63" s="20" t="n"/>
      <c r="B63" s="20" t="n"/>
      <c r="C63" s="20" t="n"/>
      <c r="D63" s="20" t="n"/>
      <c r="E63" s="20" t="n"/>
      <c r="F63" s="20" t="n"/>
      <c r="G63" s="21">
        <f>IF($A63="","",IF(IFERROR(VALUE($D63),0)&lt;&gt;1,"NO",IF(IFERROR(VALUE($E63),0)&gt;=Parametri!$B$2,"SI","NO")))</f>
        <v/>
      </c>
      <c r="H63" s="21">
        <f>IF($G63="SI",SUMPRODUCT(MAX(($C$2:$C$200=$C63)*(IFERROR($D$2:$D$200*1,0)=1)*(IFERROR($E$2:$E$200*1,0)&gt;=Parametri!$B$2)*IFERROR($F$2:$F$200*1,0))),0)</f>
        <v/>
      </c>
      <c r="I63" s="21">
        <f>IF($G63="SI",IF($H63&gt;0,30*(IFERROR(VALUE($F63),0)/$H63),0),0)</f>
        <v/>
      </c>
      <c r="J63" s="21">
        <f>IF($A63="",0,IF($G63="SI",ROUND(IFERROR(VALUE($E63),0)+$I63,4),ROUND(IFERROR(VALUE($E63),0),4)))</f>
        <v/>
      </c>
      <c r="K63" s="21">
        <f>IF($A63="","",IF(IFERROR(VALUE($D63),0)&lt;&gt;1,"Non attiva",IF(IFERROR(VALUE($E63),0)&lt;Parametri!$B$2,"Sotto soglia","")))</f>
        <v/>
      </c>
      <c r="L63" s="21">
        <f>IF($A63="","",$A63&amp;"|"&amp;$C63)</f>
        <v/>
      </c>
      <c r="M63" s="21">
        <f>IF($A63="","",$C63&amp;"|"&amp;TEXT($J63,"0.0000"))</f>
        <v/>
      </c>
    </row>
    <row r="64">
      <c r="A64" s="20" t="n"/>
      <c r="B64" s="20" t="n"/>
      <c r="C64" s="20" t="n"/>
      <c r="D64" s="20" t="n"/>
      <c r="E64" s="20" t="n"/>
      <c r="F64" s="20" t="n"/>
      <c r="G64" s="21">
        <f>IF($A64="","",IF(IFERROR(VALUE($D64),0)&lt;&gt;1,"NO",IF(IFERROR(VALUE($E64),0)&gt;=Parametri!$B$2,"SI","NO")))</f>
        <v/>
      </c>
      <c r="H64" s="21">
        <f>IF($G64="SI",SUMPRODUCT(MAX(($C$2:$C$200=$C64)*(IFERROR($D$2:$D$200*1,0)=1)*(IFERROR($E$2:$E$200*1,0)&gt;=Parametri!$B$2)*IFERROR($F$2:$F$200*1,0))),0)</f>
        <v/>
      </c>
      <c r="I64" s="21">
        <f>IF($G64="SI",IF($H64&gt;0,30*(IFERROR(VALUE($F64),0)/$H64),0),0)</f>
        <v/>
      </c>
      <c r="J64" s="21">
        <f>IF($A64="",0,IF($G64="SI",ROUND(IFERROR(VALUE($E64),0)+$I64,4),ROUND(IFERROR(VALUE($E64),0),4)))</f>
        <v/>
      </c>
      <c r="K64" s="21">
        <f>IF($A64="","",IF(IFERROR(VALUE($D64),0)&lt;&gt;1,"Non attiva",IF(IFERROR(VALUE($E64),0)&lt;Parametri!$B$2,"Sotto soglia","")))</f>
        <v/>
      </c>
      <c r="L64" s="21">
        <f>IF($A64="","",$A64&amp;"|"&amp;$C64)</f>
        <v/>
      </c>
      <c r="M64" s="21">
        <f>IF($A64="","",$C64&amp;"|"&amp;TEXT($J64,"0.0000"))</f>
        <v/>
      </c>
    </row>
    <row r="65">
      <c r="A65" s="20" t="n"/>
      <c r="B65" s="20" t="n"/>
      <c r="C65" s="20" t="n"/>
      <c r="D65" s="20" t="n"/>
      <c r="E65" s="20" t="n"/>
      <c r="F65" s="20" t="n"/>
      <c r="G65" s="21">
        <f>IF($A65="","",IF(IFERROR(VALUE($D65),0)&lt;&gt;1,"NO",IF(IFERROR(VALUE($E65),0)&gt;=Parametri!$B$2,"SI","NO")))</f>
        <v/>
      </c>
      <c r="H65" s="21">
        <f>IF($G65="SI",SUMPRODUCT(MAX(($C$2:$C$200=$C65)*(IFERROR($D$2:$D$200*1,0)=1)*(IFERROR($E$2:$E$200*1,0)&gt;=Parametri!$B$2)*IFERROR($F$2:$F$200*1,0))),0)</f>
        <v/>
      </c>
      <c r="I65" s="21">
        <f>IF($G65="SI",IF($H65&gt;0,30*(IFERROR(VALUE($F65),0)/$H65),0),0)</f>
        <v/>
      </c>
      <c r="J65" s="21">
        <f>IF($A65="",0,IF($G65="SI",ROUND(IFERROR(VALUE($E65),0)+$I65,4),ROUND(IFERROR(VALUE($E65),0),4)))</f>
        <v/>
      </c>
      <c r="K65" s="21">
        <f>IF($A65="","",IF(IFERROR(VALUE($D65),0)&lt;&gt;1,"Non attiva",IF(IFERROR(VALUE($E65),0)&lt;Parametri!$B$2,"Sotto soglia","")))</f>
        <v/>
      </c>
      <c r="L65" s="21">
        <f>IF($A65="","",$A65&amp;"|"&amp;$C65)</f>
        <v/>
      </c>
      <c r="M65" s="21">
        <f>IF($A65="","",$C65&amp;"|"&amp;TEXT($J65,"0.0000"))</f>
        <v/>
      </c>
    </row>
    <row r="66">
      <c r="A66" s="20" t="n"/>
      <c r="B66" s="20" t="n"/>
      <c r="C66" s="20" t="n"/>
      <c r="D66" s="20" t="n"/>
      <c r="E66" s="20" t="n"/>
      <c r="F66" s="20" t="n"/>
      <c r="G66" s="21">
        <f>IF($A66="","",IF(IFERROR(VALUE($D66),0)&lt;&gt;1,"NO",IF(IFERROR(VALUE($E66),0)&gt;=Parametri!$B$2,"SI","NO")))</f>
        <v/>
      </c>
      <c r="H66" s="21">
        <f>IF($G66="SI",SUMPRODUCT(MAX(($C$2:$C$200=$C66)*(IFERROR($D$2:$D$200*1,0)=1)*(IFERROR($E$2:$E$200*1,0)&gt;=Parametri!$B$2)*IFERROR($F$2:$F$200*1,0))),0)</f>
        <v/>
      </c>
      <c r="I66" s="21">
        <f>IF($G66="SI",IF($H66&gt;0,30*(IFERROR(VALUE($F66),0)/$H66),0),0)</f>
        <v/>
      </c>
      <c r="J66" s="21">
        <f>IF($A66="",0,IF($G66="SI",ROUND(IFERROR(VALUE($E66),0)+$I66,4),ROUND(IFERROR(VALUE($E66),0),4)))</f>
        <v/>
      </c>
      <c r="K66" s="21">
        <f>IF($A66="","",IF(IFERROR(VALUE($D66),0)&lt;&gt;1,"Non attiva",IF(IFERROR(VALUE($E66),0)&lt;Parametri!$B$2,"Sotto soglia","")))</f>
        <v/>
      </c>
      <c r="L66" s="21">
        <f>IF($A66="","",$A66&amp;"|"&amp;$C66)</f>
        <v/>
      </c>
      <c r="M66" s="21">
        <f>IF($A66="","",$C66&amp;"|"&amp;TEXT($J66,"0.0000"))</f>
        <v/>
      </c>
    </row>
    <row r="67">
      <c r="A67" s="20" t="n"/>
      <c r="B67" s="20" t="n"/>
      <c r="C67" s="20" t="n"/>
      <c r="D67" s="20" t="n"/>
      <c r="E67" s="20" t="n"/>
      <c r="F67" s="20" t="n"/>
      <c r="G67" s="21">
        <f>IF($A67="","",IF(IFERROR(VALUE($D67),0)&lt;&gt;1,"NO",IF(IFERROR(VALUE($E67),0)&gt;=Parametri!$B$2,"SI","NO")))</f>
        <v/>
      </c>
      <c r="H67" s="21">
        <f>IF($G67="SI",SUMPRODUCT(MAX(($C$2:$C$200=$C67)*(IFERROR($D$2:$D$200*1,0)=1)*(IFERROR($E$2:$E$200*1,0)&gt;=Parametri!$B$2)*IFERROR($F$2:$F$200*1,0))),0)</f>
        <v/>
      </c>
      <c r="I67" s="21">
        <f>IF($G67="SI",IF($H67&gt;0,30*(IFERROR(VALUE($F67),0)/$H67),0),0)</f>
        <v/>
      </c>
      <c r="J67" s="21">
        <f>IF($A67="",0,IF($G67="SI",ROUND(IFERROR(VALUE($E67),0)+$I67,4),ROUND(IFERROR(VALUE($E67),0),4)))</f>
        <v/>
      </c>
      <c r="K67" s="21">
        <f>IF($A67="","",IF(IFERROR(VALUE($D67),0)&lt;&gt;1,"Non attiva",IF(IFERROR(VALUE($E67),0)&lt;Parametri!$B$2,"Sotto soglia","")))</f>
        <v/>
      </c>
      <c r="L67" s="21">
        <f>IF($A67="","",$A67&amp;"|"&amp;$C67)</f>
        <v/>
      </c>
      <c r="M67" s="21">
        <f>IF($A67="","",$C67&amp;"|"&amp;TEXT($J67,"0.0000"))</f>
        <v/>
      </c>
    </row>
    <row r="68">
      <c r="A68" s="20" t="n"/>
      <c r="B68" s="20" t="n"/>
      <c r="C68" s="20" t="n"/>
      <c r="D68" s="20" t="n"/>
      <c r="E68" s="20" t="n"/>
      <c r="F68" s="20" t="n"/>
      <c r="G68" s="21">
        <f>IF($A68="","",IF(IFERROR(VALUE($D68),0)&lt;&gt;1,"NO",IF(IFERROR(VALUE($E68),0)&gt;=Parametri!$B$2,"SI","NO")))</f>
        <v/>
      </c>
      <c r="H68" s="21">
        <f>IF($G68="SI",SUMPRODUCT(MAX(($C$2:$C$200=$C68)*(IFERROR($D$2:$D$200*1,0)=1)*(IFERROR($E$2:$E$200*1,0)&gt;=Parametri!$B$2)*IFERROR($F$2:$F$200*1,0))),0)</f>
        <v/>
      </c>
      <c r="I68" s="21">
        <f>IF($G68="SI",IF($H68&gt;0,30*(IFERROR(VALUE($F68),0)/$H68),0),0)</f>
        <v/>
      </c>
      <c r="J68" s="21">
        <f>IF($A68="",0,IF($G68="SI",ROUND(IFERROR(VALUE($E68),0)+$I68,4),ROUND(IFERROR(VALUE($E68),0),4)))</f>
        <v/>
      </c>
      <c r="K68" s="21">
        <f>IF($A68="","",IF(IFERROR(VALUE($D68),0)&lt;&gt;1,"Non attiva",IF(IFERROR(VALUE($E68),0)&lt;Parametri!$B$2,"Sotto soglia","")))</f>
        <v/>
      </c>
      <c r="L68" s="21">
        <f>IF($A68="","",$A68&amp;"|"&amp;$C68)</f>
        <v/>
      </c>
      <c r="M68" s="21">
        <f>IF($A68="","",$C68&amp;"|"&amp;TEXT($J68,"0.0000"))</f>
        <v/>
      </c>
    </row>
    <row r="69">
      <c r="A69" s="20" t="n"/>
      <c r="B69" s="20" t="n"/>
      <c r="C69" s="20" t="n"/>
      <c r="D69" s="20" t="n"/>
      <c r="E69" s="20" t="n"/>
      <c r="F69" s="20" t="n"/>
      <c r="G69" s="21">
        <f>IF($A69="","",IF(IFERROR(VALUE($D69),0)&lt;&gt;1,"NO",IF(IFERROR(VALUE($E69),0)&gt;=Parametri!$B$2,"SI","NO")))</f>
        <v/>
      </c>
      <c r="H69" s="21">
        <f>IF($G69="SI",SUMPRODUCT(MAX(($C$2:$C$200=$C69)*(IFERROR($D$2:$D$200*1,0)=1)*(IFERROR($E$2:$E$200*1,0)&gt;=Parametri!$B$2)*IFERROR($F$2:$F$200*1,0))),0)</f>
        <v/>
      </c>
      <c r="I69" s="21">
        <f>IF($G69="SI",IF($H69&gt;0,30*(IFERROR(VALUE($F69),0)/$H69),0),0)</f>
        <v/>
      </c>
      <c r="J69" s="21">
        <f>IF($A69="",0,IF($G69="SI",ROUND(IFERROR(VALUE($E69),0)+$I69,4),ROUND(IFERROR(VALUE($E69),0),4)))</f>
        <v/>
      </c>
      <c r="K69" s="21">
        <f>IF($A69="","",IF(IFERROR(VALUE($D69),0)&lt;&gt;1,"Non attiva",IF(IFERROR(VALUE($E69),0)&lt;Parametri!$B$2,"Sotto soglia","")))</f>
        <v/>
      </c>
      <c r="L69" s="21">
        <f>IF($A69="","",$A69&amp;"|"&amp;$C69)</f>
        <v/>
      </c>
      <c r="M69" s="21">
        <f>IF($A69="","",$C69&amp;"|"&amp;TEXT($J69,"0.0000"))</f>
        <v/>
      </c>
    </row>
    <row r="70">
      <c r="A70" s="20" t="n"/>
      <c r="B70" s="20" t="n"/>
      <c r="C70" s="20" t="n"/>
      <c r="D70" s="20" t="n"/>
      <c r="E70" s="20" t="n"/>
      <c r="F70" s="20" t="n"/>
      <c r="G70" s="21">
        <f>IF($A70="","",IF(IFERROR(VALUE($D70),0)&lt;&gt;1,"NO",IF(IFERROR(VALUE($E70),0)&gt;=Parametri!$B$2,"SI","NO")))</f>
        <v/>
      </c>
      <c r="H70" s="21">
        <f>IF($G70="SI",SUMPRODUCT(MAX(($C$2:$C$200=$C70)*(IFERROR($D$2:$D$200*1,0)=1)*(IFERROR($E$2:$E$200*1,0)&gt;=Parametri!$B$2)*IFERROR($F$2:$F$200*1,0))),0)</f>
        <v/>
      </c>
      <c r="I70" s="21">
        <f>IF($G70="SI",IF($H70&gt;0,30*(IFERROR(VALUE($F70),0)/$H70),0),0)</f>
        <v/>
      </c>
      <c r="J70" s="21">
        <f>IF($A70="",0,IF($G70="SI",ROUND(IFERROR(VALUE($E70),0)+$I70,4),ROUND(IFERROR(VALUE($E70),0),4)))</f>
        <v/>
      </c>
      <c r="K70" s="21">
        <f>IF($A70="","",IF(IFERROR(VALUE($D70),0)&lt;&gt;1,"Non attiva",IF(IFERROR(VALUE($E70),0)&lt;Parametri!$B$2,"Sotto soglia","")))</f>
        <v/>
      </c>
      <c r="L70" s="21">
        <f>IF($A70="","",$A70&amp;"|"&amp;$C70)</f>
        <v/>
      </c>
      <c r="M70" s="21">
        <f>IF($A70="","",$C70&amp;"|"&amp;TEXT($J70,"0.0000"))</f>
        <v/>
      </c>
    </row>
    <row r="71">
      <c r="A71" s="20" t="n"/>
      <c r="B71" s="20" t="n"/>
      <c r="C71" s="20" t="n"/>
      <c r="D71" s="20" t="n"/>
      <c r="E71" s="20" t="n"/>
      <c r="F71" s="20" t="n"/>
      <c r="G71" s="21">
        <f>IF($A71="","",IF(IFERROR(VALUE($D71),0)&lt;&gt;1,"NO",IF(IFERROR(VALUE($E71),0)&gt;=Parametri!$B$2,"SI","NO")))</f>
        <v/>
      </c>
      <c r="H71" s="21">
        <f>IF($G71="SI",SUMPRODUCT(MAX(($C$2:$C$200=$C71)*(IFERROR($D$2:$D$200*1,0)=1)*(IFERROR($E$2:$E$200*1,0)&gt;=Parametri!$B$2)*IFERROR($F$2:$F$200*1,0))),0)</f>
        <v/>
      </c>
      <c r="I71" s="21">
        <f>IF($G71="SI",IF($H71&gt;0,30*(IFERROR(VALUE($F71),0)/$H71),0),0)</f>
        <v/>
      </c>
      <c r="J71" s="21">
        <f>IF($A71="",0,IF($G71="SI",ROUND(IFERROR(VALUE($E71),0)+$I71,4),ROUND(IFERROR(VALUE($E71),0),4)))</f>
        <v/>
      </c>
      <c r="K71" s="21">
        <f>IF($A71="","",IF(IFERROR(VALUE($D71),0)&lt;&gt;1,"Non attiva",IF(IFERROR(VALUE($E71),0)&lt;Parametri!$B$2,"Sotto soglia","")))</f>
        <v/>
      </c>
      <c r="L71" s="21">
        <f>IF($A71="","",$A71&amp;"|"&amp;$C71)</f>
        <v/>
      </c>
      <c r="M71" s="21">
        <f>IF($A71="","",$C71&amp;"|"&amp;TEXT($J71,"0.0000"))</f>
        <v/>
      </c>
    </row>
    <row r="72">
      <c r="A72" s="20" t="n"/>
      <c r="B72" s="20" t="n"/>
      <c r="C72" s="20" t="n"/>
      <c r="D72" s="20" t="n"/>
      <c r="E72" s="20" t="n"/>
      <c r="F72" s="20" t="n"/>
      <c r="G72" s="21">
        <f>IF($A72="","",IF(IFERROR(VALUE($D72),0)&lt;&gt;1,"NO",IF(IFERROR(VALUE($E72),0)&gt;=Parametri!$B$2,"SI","NO")))</f>
        <v/>
      </c>
      <c r="H72" s="21">
        <f>IF($G72="SI",SUMPRODUCT(MAX(($C$2:$C$200=$C72)*(IFERROR($D$2:$D$200*1,0)=1)*(IFERROR($E$2:$E$200*1,0)&gt;=Parametri!$B$2)*IFERROR($F$2:$F$200*1,0))),0)</f>
        <v/>
      </c>
      <c r="I72" s="21">
        <f>IF($G72="SI",IF($H72&gt;0,30*(IFERROR(VALUE($F72),0)/$H72),0),0)</f>
        <v/>
      </c>
      <c r="J72" s="21">
        <f>IF($A72="",0,IF($G72="SI",ROUND(IFERROR(VALUE($E72),0)+$I72,4),ROUND(IFERROR(VALUE($E72),0),4)))</f>
        <v/>
      </c>
      <c r="K72" s="21">
        <f>IF($A72="","",IF(IFERROR(VALUE($D72),0)&lt;&gt;1,"Non attiva",IF(IFERROR(VALUE($E72),0)&lt;Parametri!$B$2,"Sotto soglia","")))</f>
        <v/>
      </c>
      <c r="L72" s="21">
        <f>IF($A72="","",$A72&amp;"|"&amp;$C72)</f>
        <v/>
      </c>
      <c r="M72" s="21">
        <f>IF($A72="","",$C72&amp;"|"&amp;TEXT($J72,"0.0000"))</f>
        <v/>
      </c>
    </row>
    <row r="73">
      <c r="A73" s="20" t="n"/>
      <c r="B73" s="20" t="n"/>
      <c r="C73" s="20" t="n"/>
      <c r="D73" s="20" t="n"/>
      <c r="E73" s="20" t="n"/>
      <c r="F73" s="20" t="n"/>
      <c r="G73" s="21">
        <f>IF($A73="","",IF(IFERROR(VALUE($D73),0)&lt;&gt;1,"NO",IF(IFERROR(VALUE($E73),0)&gt;=Parametri!$B$2,"SI","NO")))</f>
        <v/>
      </c>
      <c r="H73" s="21">
        <f>IF($G73="SI",SUMPRODUCT(MAX(($C$2:$C$200=$C73)*(IFERROR($D$2:$D$200*1,0)=1)*(IFERROR($E$2:$E$200*1,0)&gt;=Parametri!$B$2)*IFERROR($F$2:$F$200*1,0))),0)</f>
        <v/>
      </c>
      <c r="I73" s="21">
        <f>IF($G73="SI",IF($H73&gt;0,30*(IFERROR(VALUE($F73),0)/$H73),0),0)</f>
        <v/>
      </c>
      <c r="J73" s="21">
        <f>IF($A73="",0,IF($G73="SI",ROUND(IFERROR(VALUE($E73),0)+$I73,4),ROUND(IFERROR(VALUE($E73),0),4)))</f>
        <v/>
      </c>
      <c r="K73" s="21">
        <f>IF($A73="","",IF(IFERROR(VALUE($D73),0)&lt;&gt;1,"Non attiva",IF(IFERROR(VALUE($E73),0)&lt;Parametri!$B$2,"Sotto soglia","")))</f>
        <v/>
      </c>
      <c r="L73" s="21">
        <f>IF($A73="","",$A73&amp;"|"&amp;$C73)</f>
        <v/>
      </c>
      <c r="M73" s="21">
        <f>IF($A73="","",$C73&amp;"|"&amp;TEXT($J73,"0.0000"))</f>
        <v/>
      </c>
    </row>
    <row r="74">
      <c r="A74" s="20" t="n"/>
      <c r="B74" s="20" t="n"/>
      <c r="C74" s="20" t="n"/>
      <c r="D74" s="20" t="n"/>
      <c r="E74" s="20" t="n"/>
      <c r="F74" s="20" t="n"/>
      <c r="G74" s="21">
        <f>IF($A74="","",IF(IFERROR(VALUE($D74),0)&lt;&gt;1,"NO",IF(IFERROR(VALUE($E74),0)&gt;=Parametri!$B$2,"SI","NO")))</f>
        <v/>
      </c>
      <c r="H74" s="21">
        <f>IF($G74="SI",SUMPRODUCT(MAX(($C$2:$C$200=$C74)*(IFERROR($D$2:$D$200*1,0)=1)*(IFERROR($E$2:$E$200*1,0)&gt;=Parametri!$B$2)*IFERROR($F$2:$F$200*1,0))),0)</f>
        <v/>
      </c>
      <c r="I74" s="21">
        <f>IF($G74="SI",IF($H74&gt;0,30*(IFERROR(VALUE($F74),0)/$H74),0),0)</f>
        <v/>
      </c>
      <c r="J74" s="21">
        <f>IF($A74="",0,IF($G74="SI",ROUND(IFERROR(VALUE($E74),0)+$I74,4),ROUND(IFERROR(VALUE($E74),0),4)))</f>
        <v/>
      </c>
      <c r="K74" s="21">
        <f>IF($A74="","",IF(IFERROR(VALUE($D74),0)&lt;&gt;1,"Non attiva",IF(IFERROR(VALUE($E74),0)&lt;Parametri!$B$2,"Sotto soglia","")))</f>
        <v/>
      </c>
      <c r="L74" s="21">
        <f>IF($A74="","",$A74&amp;"|"&amp;$C74)</f>
        <v/>
      </c>
      <c r="M74" s="21">
        <f>IF($A74="","",$C74&amp;"|"&amp;TEXT($J74,"0.0000"))</f>
        <v/>
      </c>
    </row>
    <row r="75">
      <c r="A75" s="20" t="n"/>
      <c r="B75" s="20" t="n"/>
      <c r="C75" s="20" t="n"/>
      <c r="D75" s="20" t="n"/>
      <c r="E75" s="20" t="n"/>
      <c r="F75" s="20" t="n"/>
      <c r="G75" s="21">
        <f>IF($A75="","",IF(IFERROR(VALUE($D75),0)&lt;&gt;1,"NO",IF(IFERROR(VALUE($E75),0)&gt;=Parametri!$B$2,"SI","NO")))</f>
        <v/>
      </c>
      <c r="H75" s="21">
        <f>IF($G75="SI",SUMPRODUCT(MAX(($C$2:$C$200=$C75)*(IFERROR($D$2:$D$200*1,0)=1)*(IFERROR($E$2:$E$200*1,0)&gt;=Parametri!$B$2)*IFERROR($F$2:$F$200*1,0))),0)</f>
        <v/>
      </c>
      <c r="I75" s="21">
        <f>IF($G75="SI",IF($H75&gt;0,30*(IFERROR(VALUE($F75),0)/$H75),0),0)</f>
        <v/>
      </c>
      <c r="J75" s="21">
        <f>IF($A75="",0,IF($G75="SI",ROUND(IFERROR(VALUE($E75),0)+$I75,4),ROUND(IFERROR(VALUE($E75),0),4)))</f>
        <v/>
      </c>
      <c r="K75" s="21">
        <f>IF($A75="","",IF(IFERROR(VALUE($D75),0)&lt;&gt;1,"Non attiva",IF(IFERROR(VALUE($E75),0)&lt;Parametri!$B$2,"Sotto soglia","")))</f>
        <v/>
      </c>
      <c r="L75" s="21">
        <f>IF($A75="","",$A75&amp;"|"&amp;$C75)</f>
        <v/>
      </c>
      <c r="M75" s="21">
        <f>IF($A75="","",$C75&amp;"|"&amp;TEXT($J75,"0.0000"))</f>
        <v/>
      </c>
    </row>
    <row r="76">
      <c r="A76" s="20" t="n"/>
      <c r="B76" s="20" t="n"/>
      <c r="C76" s="20" t="n"/>
      <c r="D76" s="20" t="n"/>
      <c r="E76" s="20" t="n"/>
      <c r="F76" s="20" t="n"/>
      <c r="G76" s="21">
        <f>IF($A76="","",IF(IFERROR(VALUE($D76),0)&lt;&gt;1,"NO",IF(IFERROR(VALUE($E76),0)&gt;=Parametri!$B$2,"SI","NO")))</f>
        <v/>
      </c>
      <c r="H76" s="21">
        <f>IF($G76="SI",SUMPRODUCT(MAX(($C$2:$C$200=$C76)*(IFERROR($D$2:$D$200*1,0)=1)*(IFERROR($E$2:$E$200*1,0)&gt;=Parametri!$B$2)*IFERROR($F$2:$F$200*1,0))),0)</f>
        <v/>
      </c>
      <c r="I76" s="21">
        <f>IF($G76="SI",IF($H76&gt;0,30*(IFERROR(VALUE($F76),0)/$H76),0),0)</f>
        <v/>
      </c>
      <c r="J76" s="21">
        <f>IF($A76="",0,IF($G76="SI",ROUND(IFERROR(VALUE($E76),0)+$I76,4),ROUND(IFERROR(VALUE($E76),0),4)))</f>
        <v/>
      </c>
      <c r="K76" s="21">
        <f>IF($A76="","",IF(IFERROR(VALUE($D76),0)&lt;&gt;1,"Non attiva",IF(IFERROR(VALUE($E76),0)&lt;Parametri!$B$2,"Sotto soglia","")))</f>
        <v/>
      </c>
      <c r="L76" s="21">
        <f>IF($A76="","",$A76&amp;"|"&amp;$C76)</f>
        <v/>
      </c>
      <c r="M76" s="21">
        <f>IF($A76="","",$C76&amp;"|"&amp;TEXT($J76,"0.0000"))</f>
        <v/>
      </c>
    </row>
    <row r="77">
      <c r="A77" s="20" t="n"/>
      <c r="B77" s="20" t="n"/>
      <c r="C77" s="20" t="n"/>
      <c r="D77" s="20" t="n"/>
      <c r="E77" s="20" t="n"/>
      <c r="F77" s="20" t="n"/>
      <c r="G77" s="21">
        <f>IF($A77="","",IF(IFERROR(VALUE($D77),0)&lt;&gt;1,"NO",IF(IFERROR(VALUE($E77),0)&gt;=Parametri!$B$2,"SI","NO")))</f>
        <v/>
      </c>
      <c r="H77" s="21">
        <f>IF($G77="SI",SUMPRODUCT(MAX(($C$2:$C$200=$C77)*(IFERROR($D$2:$D$200*1,0)=1)*(IFERROR($E$2:$E$200*1,0)&gt;=Parametri!$B$2)*IFERROR($F$2:$F$200*1,0))),0)</f>
        <v/>
      </c>
      <c r="I77" s="21">
        <f>IF($G77="SI",IF($H77&gt;0,30*(IFERROR(VALUE($F77),0)/$H77),0),0)</f>
        <v/>
      </c>
      <c r="J77" s="21">
        <f>IF($A77="",0,IF($G77="SI",ROUND(IFERROR(VALUE($E77),0)+$I77,4),ROUND(IFERROR(VALUE($E77),0),4)))</f>
        <v/>
      </c>
      <c r="K77" s="21">
        <f>IF($A77="","",IF(IFERROR(VALUE($D77),0)&lt;&gt;1,"Non attiva",IF(IFERROR(VALUE($E77),0)&lt;Parametri!$B$2,"Sotto soglia","")))</f>
        <v/>
      </c>
      <c r="L77" s="21">
        <f>IF($A77="","",$A77&amp;"|"&amp;$C77)</f>
        <v/>
      </c>
      <c r="M77" s="21">
        <f>IF($A77="","",$C77&amp;"|"&amp;TEXT($J77,"0.0000"))</f>
        <v/>
      </c>
    </row>
    <row r="78">
      <c r="A78" s="20" t="n"/>
      <c r="B78" s="20" t="n"/>
      <c r="C78" s="20" t="n"/>
      <c r="D78" s="20" t="n"/>
      <c r="E78" s="20" t="n"/>
      <c r="F78" s="20" t="n"/>
      <c r="G78" s="21">
        <f>IF($A78="","",IF(IFERROR(VALUE($D78),0)&lt;&gt;1,"NO",IF(IFERROR(VALUE($E78),0)&gt;=Parametri!$B$2,"SI","NO")))</f>
        <v/>
      </c>
      <c r="H78" s="21">
        <f>IF($G78="SI",SUMPRODUCT(MAX(($C$2:$C$200=$C78)*(IFERROR($D$2:$D$200*1,0)=1)*(IFERROR($E$2:$E$200*1,0)&gt;=Parametri!$B$2)*IFERROR($F$2:$F$200*1,0))),0)</f>
        <v/>
      </c>
      <c r="I78" s="21">
        <f>IF($G78="SI",IF($H78&gt;0,30*(IFERROR(VALUE($F78),0)/$H78),0),0)</f>
        <v/>
      </c>
      <c r="J78" s="21">
        <f>IF($A78="",0,IF($G78="SI",ROUND(IFERROR(VALUE($E78),0)+$I78,4),ROUND(IFERROR(VALUE($E78),0),4)))</f>
        <v/>
      </c>
      <c r="K78" s="21">
        <f>IF($A78="","",IF(IFERROR(VALUE($D78),0)&lt;&gt;1,"Non attiva",IF(IFERROR(VALUE($E78),0)&lt;Parametri!$B$2,"Sotto soglia","")))</f>
        <v/>
      </c>
      <c r="L78" s="21">
        <f>IF($A78="","",$A78&amp;"|"&amp;$C78)</f>
        <v/>
      </c>
      <c r="M78" s="21">
        <f>IF($A78="","",$C78&amp;"|"&amp;TEXT($J78,"0.0000"))</f>
        <v/>
      </c>
    </row>
    <row r="79">
      <c r="A79" s="20" t="n"/>
      <c r="B79" s="20" t="n"/>
      <c r="C79" s="20" t="n"/>
      <c r="D79" s="20" t="n"/>
      <c r="E79" s="20" t="n"/>
      <c r="F79" s="20" t="n"/>
      <c r="G79" s="21">
        <f>IF($A79="","",IF(IFERROR(VALUE($D79),0)&lt;&gt;1,"NO",IF(IFERROR(VALUE($E79),0)&gt;=Parametri!$B$2,"SI","NO")))</f>
        <v/>
      </c>
      <c r="H79" s="21">
        <f>IF($G79="SI",SUMPRODUCT(MAX(($C$2:$C$200=$C79)*(IFERROR($D$2:$D$200*1,0)=1)*(IFERROR($E$2:$E$200*1,0)&gt;=Parametri!$B$2)*IFERROR($F$2:$F$200*1,0))),0)</f>
        <v/>
      </c>
      <c r="I79" s="21">
        <f>IF($G79="SI",IF($H79&gt;0,30*(IFERROR(VALUE($F79),0)/$H79),0),0)</f>
        <v/>
      </c>
      <c r="J79" s="21">
        <f>IF($A79="",0,IF($G79="SI",ROUND(IFERROR(VALUE($E79),0)+$I79,4),ROUND(IFERROR(VALUE($E79),0),4)))</f>
        <v/>
      </c>
      <c r="K79" s="21">
        <f>IF($A79="","",IF(IFERROR(VALUE($D79),0)&lt;&gt;1,"Non attiva",IF(IFERROR(VALUE($E79),0)&lt;Parametri!$B$2,"Sotto soglia","")))</f>
        <v/>
      </c>
      <c r="L79" s="21">
        <f>IF($A79="","",$A79&amp;"|"&amp;$C79)</f>
        <v/>
      </c>
      <c r="M79" s="21">
        <f>IF($A79="","",$C79&amp;"|"&amp;TEXT($J79,"0.0000"))</f>
        <v/>
      </c>
    </row>
    <row r="80">
      <c r="A80" s="20" t="n"/>
      <c r="B80" s="20" t="n"/>
      <c r="C80" s="20" t="n"/>
      <c r="D80" s="20" t="n"/>
      <c r="E80" s="20" t="n"/>
      <c r="F80" s="20" t="n"/>
      <c r="G80" s="21">
        <f>IF($A80="","",IF(IFERROR(VALUE($D80),0)&lt;&gt;1,"NO",IF(IFERROR(VALUE($E80),0)&gt;=Parametri!$B$2,"SI","NO")))</f>
        <v/>
      </c>
      <c r="H80" s="21">
        <f>IF($G80="SI",SUMPRODUCT(MAX(($C$2:$C$200=$C80)*(IFERROR($D$2:$D$200*1,0)=1)*(IFERROR($E$2:$E$200*1,0)&gt;=Parametri!$B$2)*IFERROR($F$2:$F$200*1,0))),0)</f>
        <v/>
      </c>
      <c r="I80" s="21">
        <f>IF($G80="SI",IF($H80&gt;0,30*(IFERROR(VALUE($F80),0)/$H80),0),0)</f>
        <v/>
      </c>
      <c r="J80" s="21">
        <f>IF($A80="",0,IF($G80="SI",ROUND(IFERROR(VALUE($E80),0)+$I80,4),ROUND(IFERROR(VALUE($E80),0),4)))</f>
        <v/>
      </c>
      <c r="K80" s="21">
        <f>IF($A80="","",IF(IFERROR(VALUE($D80),0)&lt;&gt;1,"Non attiva",IF(IFERROR(VALUE($E80),0)&lt;Parametri!$B$2,"Sotto soglia","")))</f>
        <v/>
      </c>
      <c r="L80" s="21">
        <f>IF($A80="","",$A80&amp;"|"&amp;$C80)</f>
        <v/>
      </c>
      <c r="M80" s="21">
        <f>IF($A80="","",$C80&amp;"|"&amp;TEXT($J80,"0.0000"))</f>
        <v/>
      </c>
    </row>
    <row r="81">
      <c r="A81" s="20" t="n"/>
      <c r="B81" s="20" t="n"/>
      <c r="C81" s="20" t="n"/>
      <c r="D81" s="20" t="n"/>
      <c r="E81" s="20" t="n"/>
      <c r="F81" s="20" t="n"/>
      <c r="G81" s="21">
        <f>IF($A81="","",IF(IFERROR(VALUE($D81),0)&lt;&gt;1,"NO",IF(IFERROR(VALUE($E81),0)&gt;=Parametri!$B$2,"SI","NO")))</f>
        <v/>
      </c>
      <c r="H81" s="21">
        <f>IF($G81="SI",SUMPRODUCT(MAX(($C$2:$C$200=$C81)*(IFERROR($D$2:$D$200*1,0)=1)*(IFERROR($E$2:$E$200*1,0)&gt;=Parametri!$B$2)*IFERROR($F$2:$F$200*1,0))),0)</f>
        <v/>
      </c>
      <c r="I81" s="21">
        <f>IF($G81="SI",IF($H81&gt;0,30*(IFERROR(VALUE($F81),0)/$H81),0),0)</f>
        <v/>
      </c>
      <c r="J81" s="21">
        <f>IF($A81="",0,IF($G81="SI",ROUND(IFERROR(VALUE($E81),0)+$I81,4),ROUND(IFERROR(VALUE($E81),0),4)))</f>
        <v/>
      </c>
      <c r="K81" s="21">
        <f>IF($A81="","",IF(IFERROR(VALUE($D81),0)&lt;&gt;1,"Non attiva",IF(IFERROR(VALUE($E81),0)&lt;Parametri!$B$2,"Sotto soglia","")))</f>
        <v/>
      </c>
      <c r="L81" s="21">
        <f>IF($A81="","",$A81&amp;"|"&amp;$C81)</f>
        <v/>
      </c>
      <c r="M81" s="21">
        <f>IF($A81="","",$C81&amp;"|"&amp;TEXT($J81,"0.0000"))</f>
        <v/>
      </c>
    </row>
    <row r="82">
      <c r="A82" s="20" t="n"/>
      <c r="B82" s="20" t="n"/>
      <c r="C82" s="20" t="n"/>
      <c r="D82" s="20" t="n"/>
      <c r="E82" s="20" t="n"/>
      <c r="F82" s="20" t="n"/>
      <c r="G82" s="21">
        <f>IF($A82="","",IF(IFERROR(VALUE($D82),0)&lt;&gt;1,"NO",IF(IFERROR(VALUE($E82),0)&gt;=Parametri!$B$2,"SI","NO")))</f>
        <v/>
      </c>
      <c r="H82" s="21">
        <f>IF($G82="SI",SUMPRODUCT(MAX(($C$2:$C$200=$C82)*(IFERROR($D$2:$D$200*1,0)=1)*(IFERROR($E$2:$E$200*1,0)&gt;=Parametri!$B$2)*IFERROR($F$2:$F$200*1,0))),0)</f>
        <v/>
      </c>
      <c r="I82" s="21">
        <f>IF($G82="SI",IF($H82&gt;0,30*(IFERROR(VALUE($F82),0)/$H82),0),0)</f>
        <v/>
      </c>
      <c r="J82" s="21">
        <f>IF($A82="",0,IF($G82="SI",ROUND(IFERROR(VALUE($E82),0)+$I82,4),ROUND(IFERROR(VALUE($E82),0),4)))</f>
        <v/>
      </c>
      <c r="K82" s="21">
        <f>IF($A82="","",IF(IFERROR(VALUE($D82),0)&lt;&gt;1,"Non attiva",IF(IFERROR(VALUE($E82),0)&lt;Parametri!$B$2,"Sotto soglia","")))</f>
        <v/>
      </c>
      <c r="L82" s="21">
        <f>IF($A82="","",$A82&amp;"|"&amp;$C82)</f>
        <v/>
      </c>
      <c r="M82" s="21">
        <f>IF($A82="","",$C82&amp;"|"&amp;TEXT($J82,"0.0000"))</f>
        <v/>
      </c>
    </row>
    <row r="83">
      <c r="A83" s="20" t="n"/>
      <c r="B83" s="20" t="n"/>
      <c r="C83" s="20" t="n"/>
      <c r="D83" s="20" t="n"/>
      <c r="E83" s="20" t="n"/>
      <c r="F83" s="20" t="n"/>
      <c r="G83" s="21">
        <f>IF($A83="","",IF(IFERROR(VALUE($D83),0)&lt;&gt;1,"NO",IF(IFERROR(VALUE($E83),0)&gt;=Parametri!$B$2,"SI","NO")))</f>
        <v/>
      </c>
      <c r="H83" s="21">
        <f>IF($G83="SI",SUMPRODUCT(MAX(($C$2:$C$200=$C83)*(IFERROR($D$2:$D$200*1,0)=1)*(IFERROR($E$2:$E$200*1,0)&gt;=Parametri!$B$2)*IFERROR($F$2:$F$200*1,0))),0)</f>
        <v/>
      </c>
      <c r="I83" s="21">
        <f>IF($G83="SI",IF($H83&gt;0,30*(IFERROR(VALUE($F83),0)/$H83),0),0)</f>
        <v/>
      </c>
      <c r="J83" s="21">
        <f>IF($A83="",0,IF($G83="SI",ROUND(IFERROR(VALUE($E83),0)+$I83,4),ROUND(IFERROR(VALUE($E83),0),4)))</f>
        <v/>
      </c>
      <c r="K83" s="21">
        <f>IF($A83="","",IF(IFERROR(VALUE($D83),0)&lt;&gt;1,"Non attiva",IF(IFERROR(VALUE($E83),0)&lt;Parametri!$B$2,"Sotto soglia","")))</f>
        <v/>
      </c>
      <c r="L83" s="21">
        <f>IF($A83="","",$A83&amp;"|"&amp;$C83)</f>
        <v/>
      </c>
      <c r="M83" s="21">
        <f>IF($A83="","",$C83&amp;"|"&amp;TEXT($J83,"0.0000"))</f>
        <v/>
      </c>
    </row>
    <row r="84">
      <c r="A84" s="20" t="n"/>
      <c r="B84" s="20" t="n"/>
      <c r="C84" s="20" t="n"/>
      <c r="D84" s="20" t="n"/>
      <c r="E84" s="20" t="n"/>
      <c r="F84" s="20" t="n"/>
      <c r="G84" s="21">
        <f>IF($A84="","",IF(IFERROR(VALUE($D84),0)&lt;&gt;1,"NO",IF(IFERROR(VALUE($E84),0)&gt;=Parametri!$B$2,"SI","NO")))</f>
        <v/>
      </c>
      <c r="H84" s="21">
        <f>IF($G84="SI",SUMPRODUCT(MAX(($C$2:$C$200=$C84)*(IFERROR($D$2:$D$200*1,0)=1)*(IFERROR($E$2:$E$200*1,0)&gt;=Parametri!$B$2)*IFERROR($F$2:$F$200*1,0))),0)</f>
        <v/>
      </c>
      <c r="I84" s="21">
        <f>IF($G84="SI",IF($H84&gt;0,30*(IFERROR(VALUE($F84),0)/$H84),0),0)</f>
        <v/>
      </c>
      <c r="J84" s="21">
        <f>IF($A84="",0,IF($G84="SI",ROUND(IFERROR(VALUE($E84),0)+$I84,4),ROUND(IFERROR(VALUE($E84),0),4)))</f>
        <v/>
      </c>
      <c r="K84" s="21">
        <f>IF($A84="","",IF(IFERROR(VALUE($D84),0)&lt;&gt;1,"Non attiva",IF(IFERROR(VALUE($E84),0)&lt;Parametri!$B$2,"Sotto soglia","")))</f>
        <v/>
      </c>
      <c r="L84" s="21">
        <f>IF($A84="","",$A84&amp;"|"&amp;$C84)</f>
        <v/>
      </c>
      <c r="M84" s="21">
        <f>IF($A84="","",$C84&amp;"|"&amp;TEXT($J84,"0.0000"))</f>
        <v/>
      </c>
    </row>
    <row r="85">
      <c r="A85" s="20" t="n"/>
      <c r="B85" s="20" t="n"/>
      <c r="C85" s="20" t="n"/>
      <c r="D85" s="20" t="n"/>
      <c r="E85" s="20" t="n"/>
      <c r="F85" s="20" t="n"/>
      <c r="G85" s="21">
        <f>IF($A85="","",IF(IFERROR(VALUE($D85),0)&lt;&gt;1,"NO",IF(IFERROR(VALUE($E85),0)&gt;=Parametri!$B$2,"SI","NO")))</f>
        <v/>
      </c>
      <c r="H85" s="21">
        <f>IF($G85="SI",SUMPRODUCT(MAX(($C$2:$C$200=$C85)*(IFERROR($D$2:$D$200*1,0)=1)*(IFERROR($E$2:$E$200*1,0)&gt;=Parametri!$B$2)*IFERROR($F$2:$F$200*1,0))),0)</f>
        <v/>
      </c>
      <c r="I85" s="21">
        <f>IF($G85="SI",IF($H85&gt;0,30*(IFERROR(VALUE($F85),0)/$H85),0),0)</f>
        <v/>
      </c>
      <c r="J85" s="21">
        <f>IF($A85="",0,IF($G85="SI",ROUND(IFERROR(VALUE($E85),0)+$I85,4),ROUND(IFERROR(VALUE($E85),0),4)))</f>
        <v/>
      </c>
      <c r="K85" s="21">
        <f>IF($A85="","",IF(IFERROR(VALUE($D85),0)&lt;&gt;1,"Non attiva",IF(IFERROR(VALUE($E85),0)&lt;Parametri!$B$2,"Sotto soglia","")))</f>
        <v/>
      </c>
      <c r="L85" s="21">
        <f>IF($A85="","",$A85&amp;"|"&amp;$C85)</f>
        <v/>
      </c>
      <c r="M85" s="21">
        <f>IF($A85="","",$C85&amp;"|"&amp;TEXT($J85,"0.0000"))</f>
        <v/>
      </c>
    </row>
    <row r="86">
      <c r="A86" s="20" t="n"/>
      <c r="B86" s="20" t="n"/>
      <c r="C86" s="20" t="n"/>
      <c r="D86" s="20" t="n"/>
      <c r="E86" s="20" t="n"/>
      <c r="F86" s="20" t="n"/>
      <c r="G86" s="21">
        <f>IF($A86="","",IF(IFERROR(VALUE($D86),0)&lt;&gt;1,"NO",IF(IFERROR(VALUE($E86),0)&gt;=Parametri!$B$2,"SI","NO")))</f>
        <v/>
      </c>
      <c r="H86" s="21">
        <f>IF($G86="SI",SUMPRODUCT(MAX(($C$2:$C$200=$C86)*(IFERROR($D$2:$D$200*1,0)=1)*(IFERROR($E$2:$E$200*1,0)&gt;=Parametri!$B$2)*IFERROR($F$2:$F$200*1,0))),0)</f>
        <v/>
      </c>
      <c r="I86" s="21">
        <f>IF($G86="SI",IF($H86&gt;0,30*(IFERROR(VALUE($F86),0)/$H86),0),0)</f>
        <v/>
      </c>
      <c r="J86" s="21">
        <f>IF($A86="",0,IF($G86="SI",ROUND(IFERROR(VALUE($E86),0)+$I86,4),ROUND(IFERROR(VALUE($E86),0),4)))</f>
        <v/>
      </c>
      <c r="K86" s="21">
        <f>IF($A86="","",IF(IFERROR(VALUE($D86),0)&lt;&gt;1,"Non attiva",IF(IFERROR(VALUE($E86),0)&lt;Parametri!$B$2,"Sotto soglia","")))</f>
        <v/>
      </c>
      <c r="L86" s="21">
        <f>IF($A86="","",$A86&amp;"|"&amp;$C86)</f>
        <v/>
      </c>
      <c r="M86" s="21">
        <f>IF($A86="","",$C86&amp;"|"&amp;TEXT($J86,"0.0000"))</f>
        <v/>
      </c>
    </row>
    <row r="87">
      <c r="A87" s="20" t="n"/>
      <c r="B87" s="20" t="n"/>
      <c r="C87" s="20" t="n"/>
      <c r="D87" s="20" t="n"/>
      <c r="E87" s="20" t="n"/>
      <c r="F87" s="20" t="n"/>
      <c r="G87" s="21">
        <f>IF($A87="","",IF(IFERROR(VALUE($D87),0)&lt;&gt;1,"NO",IF(IFERROR(VALUE($E87),0)&gt;=Parametri!$B$2,"SI","NO")))</f>
        <v/>
      </c>
      <c r="H87" s="21">
        <f>IF($G87="SI",SUMPRODUCT(MAX(($C$2:$C$200=$C87)*(IFERROR($D$2:$D$200*1,0)=1)*(IFERROR($E$2:$E$200*1,0)&gt;=Parametri!$B$2)*IFERROR($F$2:$F$200*1,0))),0)</f>
        <v/>
      </c>
      <c r="I87" s="21">
        <f>IF($G87="SI",IF($H87&gt;0,30*(IFERROR(VALUE($F87),0)/$H87),0),0)</f>
        <v/>
      </c>
      <c r="J87" s="21">
        <f>IF($A87="",0,IF($G87="SI",ROUND(IFERROR(VALUE($E87),0)+$I87,4),ROUND(IFERROR(VALUE($E87),0),4)))</f>
        <v/>
      </c>
      <c r="K87" s="21">
        <f>IF($A87="","",IF(IFERROR(VALUE($D87),0)&lt;&gt;1,"Non attiva",IF(IFERROR(VALUE($E87),0)&lt;Parametri!$B$2,"Sotto soglia","")))</f>
        <v/>
      </c>
      <c r="L87" s="21">
        <f>IF($A87="","",$A87&amp;"|"&amp;$C87)</f>
        <v/>
      </c>
      <c r="M87" s="21">
        <f>IF($A87="","",$C87&amp;"|"&amp;TEXT($J87,"0.0000"))</f>
        <v/>
      </c>
    </row>
    <row r="88">
      <c r="A88" s="20" t="n"/>
      <c r="B88" s="20" t="n"/>
      <c r="C88" s="20" t="n"/>
      <c r="D88" s="20" t="n"/>
      <c r="E88" s="20" t="n"/>
      <c r="F88" s="20" t="n"/>
      <c r="G88" s="21">
        <f>IF($A88="","",IF(IFERROR(VALUE($D88),0)&lt;&gt;1,"NO",IF(IFERROR(VALUE($E88),0)&gt;=Parametri!$B$2,"SI","NO")))</f>
        <v/>
      </c>
      <c r="H88" s="21">
        <f>IF($G88="SI",SUMPRODUCT(MAX(($C$2:$C$200=$C88)*(IFERROR($D$2:$D$200*1,0)=1)*(IFERROR($E$2:$E$200*1,0)&gt;=Parametri!$B$2)*IFERROR($F$2:$F$200*1,0))),0)</f>
        <v/>
      </c>
      <c r="I88" s="21">
        <f>IF($G88="SI",IF($H88&gt;0,30*(IFERROR(VALUE($F88),0)/$H88),0),0)</f>
        <v/>
      </c>
      <c r="J88" s="21">
        <f>IF($A88="",0,IF($G88="SI",ROUND(IFERROR(VALUE($E88),0)+$I88,4),ROUND(IFERROR(VALUE($E88),0),4)))</f>
        <v/>
      </c>
      <c r="K88" s="21">
        <f>IF($A88="","",IF(IFERROR(VALUE($D88),0)&lt;&gt;1,"Non attiva",IF(IFERROR(VALUE($E88),0)&lt;Parametri!$B$2,"Sotto soglia","")))</f>
        <v/>
      </c>
      <c r="L88" s="21">
        <f>IF($A88="","",$A88&amp;"|"&amp;$C88)</f>
        <v/>
      </c>
      <c r="M88" s="21">
        <f>IF($A88="","",$C88&amp;"|"&amp;TEXT($J88,"0.0000"))</f>
        <v/>
      </c>
    </row>
    <row r="89">
      <c r="A89" s="20" t="n"/>
      <c r="B89" s="20" t="n"/>
      <c r="C89" s="20" t="n"/>
      <c r="D89" s="20" t="n"/>
      <c r="E89" s="20" t="n"/>
      <c r="F89" s="20" t="n"/>
      <c r="G89" s="21">
        <f>IF($A89="","",IF(IFERROR(VALUE($D89),0)&lt;&gt;1,"NO",IF(IFERROR(VALUE($E89),0)&gt;=Parametri!$B$2,"SI","NO")))</f>
        <v/>
      </c>
      <c r="H89" s="21">
        <f>IF($G89="SI",SUMPRODUCT(MAX(($C$2:$C$200=$C89)*(IFERROR($D$2:$D$200*1,0)=1)*(IFERROR($E$2:$E$200*1,0)&gt;=Parametri!$B$2)*IFERROR($F$2:$F$200*1,0))),0)</f>
        <v/>
      </c>
      <c r="I89" s="21">
        <f>IF($G89="SI",IF($H89&gt;0,30*(IFERROR(VALUE($F89),0)/$H89),0),0)</f>
        <v/>
      </c>
      <c r="J89" s="21">
        <f>IF($A89="",0,IF($G89="SI",ROUND(IFERROR(VALUE($E89),0)+$I89,4),ROUND(IFERROR(VALUE($E89),0),4)))</f>
        <v/>
      </c>
      <c r="K89" s="21">
        <f>IF($A89="","",IF(IFERROR(VALUE($D89),0)&lt;&gt;1,"Non attiva",IF(IFERROR(VALUE($E89),0)&lt;Parametri!$B$2,"Sotto soglia","")))</f>
        <v/>
      </c>
      <c r="L89" s="21">
        <f>IF($A89="","",$A89&amp;"|"&amp;$C89)</f>
        <v/>
      </c>
      <c r="M89" s="21">
        <f>IF($A89="","",$C89&amp;"|"&amp;TEXT($J89,"0.0000"))</f>
        <v/>
      </c>
    </row>
    <row r="90">
      <c r="A90" s="20" t="n"/>
      <c r="B90" s="20" t="n"/>
      <c r="C90" s="20" t="n"/>
      <c r="D90" s="20" t="n"/>
      <c r="E90" s="20" t="n"/>
      <c r="F90" s="20" t="n"/>
      <c r="G90" s="21">
        <f>IF($A90="","",IF(IFERROR(VALUE($D90),0)&lt;&gt;1,"NO",IF(IFERROR(VALUE($E90),0)&gt;=Parametri!$B$2,"SI","NO")))</f>
        <v/>
      </c>
      <c r="H90" s="21">
        <f>IF($G90="SI",SUMPRODUCT(MAX(($C$2:$C$200=$C90)*(IFERROR($D$2:$D$200*1,0)=1)*(IFERROR($E$2:$E$200*1,0)&gt;=Parametri!$B$2)*IFERROR($F$2:$F$200*1,0))),0)</f>
        <v/>
      </c>
      <c r="I90" s="21">
        <f>IF($G90="SI",IF($H90&gt;0,30*(IFERROR(VALUE($F90),0)/$H90),0),0)</f>
        <v/>
      </c>
      <c r="J90" s="21">
        <f>IF($A90="",0,IF($G90="SI",ROUND(IFERROR(VALUE($E90),0)+$I90,4),ROUND(IFERROR(VALUE($E90),0),4)))</f>
        <v/>
      </c>
      <c r="K90" s="21">
        <f>IF($A90="","",IF(IFERROR(VALUE($D90),0)&lt;&gt;1,"Non attiva",IF(IFERROR(VALUE($E90),0)&lt;Parametri!$B$2,"Sotto soglia","")))</f>
        <v/>
      </c>
      <c r="L90" s="21">
        <f>IF($A90="","",$A90&amp;"|"&amp;$C90)</f>
        <v/>
      </c>
      <c r="M90" s="21">
        <f>IF($A90="","",$C90&amp;"|"&amp;TEXT($J90,"0.0000"))</f>
        <v/>
      </c>
    </row>
    <row r="91">
      <c r="A91" s="20" t="n"/>
      <c r="B91" s="20" t="n"/>
      <c r="C91" s="20" t="n"/>
      <c r="D91" s="20" t="n"/>
      <c r="E91" s="20" t="n"/>
      <c r="F91" s="20" t="n"/>
      <c r="G91" s="21">
        <f>IF($A91="","",IF(IFERROR(VALUE($D91),0)&lt;&gt;1,"NO",IF(IFERROR(VALUE($E91),0)&gt;=Parametri!$B$2,"SI","NO")))</f>
        <v/>
      </c>
      <c r="H91" s="21">
        <f>IF($G91="SI",SUMPRODUCT(MAX(($C$2:$C$200=$C91)*(IFERROR($D$2:$D$200*1,0)=1)*(IFERROR($E$2:$E$200*1,0)&gt;=Parametri!$B$2)*IFERROR($F$2:$F$200*1,0))),0)</f>
        <v/>
      </c>
      <c r="I91" s="21">
        <f>IF($G91="SI",IF($H91&gt;0,30*(IFERROR(VALUE($F91),0)/$H91),0),0)</f>
        <v/>
      </c>
      <c r="J91" s="21">
        <f>IF($A91="",0,IF($G91="SI",ROUND(IFERROR(VALUE($E91),0)+$I91,4),ROUND(IFERROR(VALUE($E91),0),4)))</f>
        <v/>
      </c>
      <c r="K91" s="21">
        <f>IF($A91="","",IF(IFERROR(VALUE($D91),0)&lt;&gt;1,"Non attiva",IF(IFERROR(VALUE($E91),0)&lt;Parametri!$B$2,"Sotto soglia","")))</f>
        <v/>
      </c>
      <c r="L91" s="21">
        <f>IF($A91="","",$A91&amp;"|"&amp;$C91)</f>
        <v/>
      </c>
      <c r="M91" s="21">
        <f>IF($A91="","",$C91&amp;"|"&amp;TEXT($J91,"0.0000"))</f>
        <v/>
      </c>
    </row>
    <row r="92">
      <c r="A92" s="20" t="n"/>
      <c r="B92" s="20" t="n"/>
      <c r="C92" s="20" t="n"/>
      <c r="D92" s="20" t="n"/>
      <c r="E92" s="20" t="n"/>
      <c r="F92" s="20" t="n"/>
      <c r="G92" s="21">
        <f>IF($A92="","",IF(IFERROR(VALUE($D92),0)&lt;&gt;1,"NO",IF(IFERROR(VALUE($E92),0)&gt;=Parametri!$B$2,"SI","NO")))</f>
        <v/>
      </c>
      <c r="H92" s="21">
        <f>IF($G92="SI",SUMPRODUCT(MAX(($C$2:$C$200=$C92)*(IFERROR($D$2:$D$200*1,0)=1)*(IFERROR($E$2:$E$200*1,0)&gt;=Parametri!$B$2)*IFERROR($F$2:$F$200*1,0))),0)</f>
        <v/>
      </c>
      <c r="I92" s="21">
        <f>IF($G92="SI",IF($H92&gt;0,30*(IFERROR(VALUE($F92),0)/$H92),0),0)</f>
        <v/>
      </c>
      <c r="J92" s="21">
        <f>IF($A92="",0,IF($G92="SI",ROUND(IFERROR(VALUE($E92),0)+$I92,4),ROUND(IFERROR(VALUE($E92),0),4)))</f>
        <v/>
      </c>
      <c r="K92" s="21">
        <f>IF($A92="","",IF(IFERROR(VALUE($D92),0)&lt;&gt;1,"Non attiva",IF(IFERROR(VALUE($E92),0)&lt;Parametri!$B$2,"Sotto soglia","")))</f>
        <v/>
      </c>
      <c r="L92" s="21">
        <f>IF($A92="","",$A92&amp;"|"&amp;$C92)</f>
        <v/>
      </c>
      <c r="M92" s="21">
        <f>IF($A92="","",$C92&amp;"|"&amp;TEXT($J92,"0.0000"))</f>
        <v/>
      </c>
    </row>
    <row r="93">
      <c r="A93" s="20" t="n"/>
      <c r="B93" s="20" t="n"/>
      <c r="C93" s="20" t="n"/>
      <c r="D93" s="20" t="n"/>
      <c r="E93" s="20" t="n"/>
      <c r="F93" s="20" t="n"/>
      <c r="G93" s="21">
        <f>IF($A93="","",IF(IFERROR(VALUE($D93),0)&lt;&gt;1,"NO",IF(IFERROR(VALUE($E93),0)&gt;=Parametri!$B$2,"SI","NO")))</f>
        <v/>
      </c>
      <c r="H93" s="21">
        <f>IF($G93="SI",SUMPRODUCT(MAX(($C$2:$C$200=$C93)*(IFERROR($D$2:$D$200*1,0)=1)*(IFERROR($E$2:$E$200*1,0)&gt;=Parametri!$B$2)*IFERROR($F$2:$F$200*1,0))),0)</f>
        <v/>
      </c>
      <c r="I93" s="21">
        <f>IF($G93="SI",IF($H93&gt;0,30*(IFERROR(VALUE($F93),0)/$H93),0),0)</f>
        <v/>
      </c>
      <c r="J93" s="21">
        <f>IF($A93="",0,IF($G93="SI",ROUND(IFERROR(VALUE($E93),0)+$I93,4),ROUND(IFERROR(VALUE($E93),0),4)))</f>
        <v/>
      </c>
      <c r="K93" s="21">
        <f>IF($A93="","",IF(IFERROR(VALUE($D93),0)&lt;&gt;1,"Non attiva",IF(IFERROR(VALUE($E93),0)&lt;Parametri!$B$2,"Sotto soglia","")))</f>
        <v/>
      </c>
      <c r="L93" s="21">
        <f>IF($A93="","",$A93&amp;"|"&amp;$C93)</f>
        <v/>
      </c>
      <c r="M93" s="21">
        <f>IF($A93="","",$C93&amp;"|"&amp;TEXT($J93,"0.0000"))</f>
        <v/>
      </c>
    </row>
    <row r="94">
      <c r="A94" s="20" t="n"/>
      <c r="B94" s="20" t="n"/>
      <c r="C94" s="20" t="n"/>
      <c r="D94" s="20" t="n"/>
      <c r="E94" s="20" t="n"/>
      <c r="F94" s="20" t="n"/>
      <c r="G94" s="21">
        <f>IF($A94="","",IF(IFERROR(VALUE($D94),0)&lt;&gt;1,"NO",IF(IFERROR(VALUE($E94),0)&gt;=Parametri!$B$2,"SI","NO")))</f>
        <v/>
      </c>
      <c r="H94" s="21">
        <f>IF($G94="SI",SUMPRODUCT(MAX(($C$2:$C$200=$C94)*(IFERROR($D$2:$D$200*1,0)=1)*(IFERROR($E$2:$E$200*1,0)&gt;=Parametri!$B$2)*IFERROR($F$2:$F$200*1,0))),0)</f>
        <v/>
      </c>
      <c r="I94" s="21">
        <f>IF($G94="SI",IF($H94&gt;0,30*(IFERROR(VALUE($F94),0)/$H94),0),0)</f>
        <v/>
      </c>
      <c r="J94" s="21">
        <f>IF($A94="",0,IF($G94="SI",ROUND(IFERROR(VALUE($E94),0)+$I94,4),ROUND(IFERROR(VALUE($E94),0),4)))</f>
        <v/>
      </c>
      <c r="K94" s="21">
        <f>IF($A94="","",IF(IFERROR(VALUE($D94),0)&lt;&gt;1,"Non attiva",IF(IFERROR(VALUE($E94),0)&lt;Parametri!$B$2,"Sotto soglia","")))</f>
        <v/>
      </c>
      <c r="L94" s="21">
        <f>IF($A94="","",$A94&amp;"|"&amp;$C94)</f>
        <v/>
      </c>
      <c r="M94" s="21">
        <f>IF($A94="","",$C94&amp;"|"&amp;TEXT($J94,"0.0000"))</f>
        <v/>
      </c>
    </row>
    <row r="95">
      <c r="A95" s="20" t="n"/>
      <c r="B95" s="20" t="n"/>
      <c r="C95" s="20" t="n"/>
      <c r="D95" s="20" t="n"/>
      <c r="E95" s="20" t="n"/>
      <c r="F95" s="20" t="n"/>
      <c r="G95" s="21">
        <f>IF($A95="","",IF(IFERROR(VALUE($D95),0)&lt;&gt;1,"NO",IF(IFERROR(VALUE($E95),0)&gt;=Parametri!$B$2,"SI","NO")))</f>
        <v/>
      </c>
      <c r="H95" s="21">
        <f>IF($G95="SI",SUMPRODUCT(MAX(($C$2:$C$200=$C95)*(IFERROR($D$2:$D$200*1,0)=1)*(IFERROR($E$2:$E$200*1,0)&gt;=Parametri!$B$2)*IFERROR($F$2:$F$200*1,0))),0)</f>
        <v/>
      </c>
      <c r="I95" s="21">
        <f>IF($G95="SI",IF($H95&gt;0,30*(IFERROR(VALUE($F95),0)/$H95),0),0)</f>
        <v/>
      </c>
      <c r="J95" s="21">
        <f>IF($A95="",0,IF($G95="SI",ROUND(IFERROR(VALUE($E95),0)+$I95,4),ROUND(IFERROR(VALUE($E95),0),4)))</f>
        <v/>
      </c>
      <c r="K95" s="21">
        <f>IF($A95="","",IF(IFERROR(VALUE($D95),0)&lt;&gt;1,"Non attiva",IF(IFERROR(VALUE($E95),0)&lt;Parametri!$B$2,"Sotto soglia","")))</f>
        <v/>
      </c>
      <c r="L95" s="21">
        <f>IF($A95="","",$A95&amp;"|"&amp;$C95)</f>
        <v/>
      </c>
      <c r="M95" s="21">
        <f>IF($A95="","",$C95&amp;"|"&amp;TEXT($J95,"0.0000"))</f>
        <v/>
      </c>
    </row>
    <row r="96">
      <c r="A96" s="20" t="n"/>
      <c r="B96" s="20" t="n"/>
      <c r="C96" s="20" t="n"/>
      <c r="D96" s="20" t="n"/>
      <c r="E96" s="20" t="n"/>
      <c r="F96" s="20" t="n"/>
      <c r="G96" s="21">
        <f>IF($A96="","",IF(IFERROR(VALUE($D96),0)&lt;&gt;1,"NO",IF(IFERROR(VALUE($E96),0)&gt;=Parametri!$B$2,"SI","NO")))</f>
        <v/>
      </c>
      <c r="H96" s="21">
        <f>IF($G96="SI",SUMPRODUCT(MAX(($C$2:$C$200=$C96)*(IFERROR($D$2:$D$200*1,0)=1)*(IFERROR($E$2:$E$200*1,0)&gt;=Parametri!$B$2)*IFERROR($F$2:$F$200*1,0))),0)</f>
        <v/>
      </c>
      <c r="I96" s="21">
        <f>IF($G96="SI",IF($H96&gt;0,30*(IFERROR(VALUE($F96),0)/$H96),0),0)</f>
        <v/>
      </c>
      <c r="J96" s="21">
        <f>IF($A96="",0,IF($G96="SI",ROUND(IFERROR(VALUE($E96),0)+$I96,4),ROUND(IFERROR(VALUE($E96),0),4)))</f>
        <v/>
      </c>
      <c r="K96" s="21">
        <f>IF($A96="","",IF(IFERROR(VALUE($D96),0)&lt;&gt;1,"Non attiva",IF(IFERROR(VALUE($E96),0)&lt;Parametri!$B$2,"Sotto soglia","")))</f>
        <v/>
      </c>
      <c r="L96" s="21">
        <f>IF($A96="","",$A96&amp;"|"&amp;$C96)</f>
        <v/>
      </c>
      <c r="M96" s="21">
        <f>IF($A96="","",$C96&amp;"|"&amp;TEXT($J96,"0.0000"))</f>
        <v/>
      </c>
    </row>
    <row r="97">
      <c r="A97" s="20" t="n"/>
      <c r="B97" s="20" t="n"/>
      <c r="C97" s="20" t="n"/>
      <c r="D97" s="20" t="n"/>
      <c r="E97" s="20" t="n"/>
      <c r="F97" s="20" t="n"/>
      <c r="G97" s="21">
        <f>IF($A97="","",IF(IFERROR(VALUE($D97),0)&lt;&gt;1,"NO",IF(IFERROR(VALUE($E97),0)&gt;=Parametri!$B$2,"SI","NO")))</f>
        <v/>
      </c>
      <c r="H97" s="21">
        <f>IF($G97="SI",SUMPRODUCT(MAX(($C$2:$C$200=$C97)*(IFERROR($D$2:$D$200*1,0)=1)*(IFERROR($E$2:$E$200*1,0)&gt;=Parametri!$B$2)*IFERROR($F$2:$F$200*1,0))),0)</f>
        <v/>
      </c>
      <c r="I97" s="21">
        <f>IF($G97="SI",IF($H97&gt;0,30*(IFERROR(VALUE($F97),0)/$H97),0),0)</f>
        <v/>
      </c>
      <c r="J97" s="21">
        <f>IF($A97="",0,IF($G97="SI",ROUND(IFERROR(VALUE($E97),0)+$I97,4),ROUND(IFERROR(VALUE($E97),0),4)))</f>
        <v/>
      </c>
      <c r="K97" s="21">
        <f>IF($A97="","",IF(IFERROR(VALUE($D97),0)&lt;&gt;1,"Non attiva",IF(IFERROR(VALUE($E97),0)&lt;Parametri!$B$2,"Sotto soglia","")))</f>
        <v/>
      </c>
      <c r="L97" s="21">
        <f>IF($A97="","",$A97&amp;"|"&amp;$C97)</f>
        <v/>
      </c>
      <c r="M97" s="21">
        <f>IF($A97="","",$C97&amp;"|"&amp;TEXT($J97,"0.0000"))</f>
        <v/>
      </c>
    </row>
    <row r="98">
      <c r="A98" s="20" t="n"/>
      <c r="B98" s="20" t="n"/>
      <c r="C98" s="20" t="n"/>
      <c r="D98" s="20" t="n"/>
      <c r="E98" s="20" t="n"/>
      <c r="F98" s="20" t="n"/>
      <c r="G98" s="21">
        <f>IF($A98="","",IF(IFERROR(VALUE($D98),0)&lt;&gt;1,"NO",IF(IFERROR(VALUE($E98),0)&gt;=Parametri!$B$2,"SI","NO")))</f>
        <v/>
      </c>
      <c r="H98" s="21">
        <f>IF($G98="SI",SUMPRODUCT(MAX(($C$2:$C$200=$C98)*(IFERROR($D$2:$D$200*1,0)=1)*(IFERROR($E$2:$E$200*1,0)&gt;=Parametri!$B$2)*IFERROR($F$2:$F$200*1,0))),0)</f>
        <v/>
      </c>
      <c r="I98" s="21">
        <f>IF($G98="SI",IF($H98&gt;0,30*(IFERROR(VALUE($F98),0)/$H98),0),0)</f>
        <v/>
      </c>
      <c r="J98" s="21">
        <f>IF($A98="",0,IF($G98="SI",ROUND(IFERROR(VALUE($E98),0)+$I98,4),ROUND(IFERROR(VALUE($E98),0),4)))</f>
        <v/>
      </c>
      <c r="K98" s="21">
        <f>IF($A98="","",IF(IFERROR(VALUE($D98),0)&lt;&gt;1,"Non attiva",IF(IFERROR(VALUE($E98),0)&lt;Parametri!$B$2,"Sotto soglia","")))</f>
        <v/>
      </c>
      <c r="L98" s="21">
        <f>IF($A98="","",$A98&amp;"|"&amp;$C98)</f>
        <v/>
      </c>
      <c r="M98" s="21">
        <f>IF($A98="","",$C98&amp;"|"&amp;TEXT($J98,"0.0000"))</f>
        <v/>
      </c>
    </row>
    <row r="99">
      <c r="A99" s="20" t="n"/>
      <c r="B99" s="20" t="n"/>
      <c r="C99" s="20" t="n"/>
      <c r="D99" s="20" t="n"/>
      <c r="E99" s="20" t="n"/>
      <c r="F99" s="20" t="n"/>
      <c r="G99" s="21">
        <f>IF($A99="","",IF(IFERROR(VALUE($D99),0)&lt;&gt;1,"NO",IF(IFERROR(VALUE($E99),0)&gt;=Parametri!$B$2,"SI","NO")))</f>
        <v/>
      </c>
      <c r="H99" s="21">
        <f>IF($G99="SI",SUMPRODUCT(MAX(($C$2:$C$200=$C99)*(IFERROR($D$2:$D$200*1,0)=1)*(IFERROR($E$2:$E$200*1,0)&gt;=Parametri!$B$2)*IFERROR($F$2:$F$200*1,0))),0)</f>
        <v/>
      </c>
      <c r="I99" s="21">
        <f>IF($G99="SI",IF($H99&gt;0,30*(IFERROR(VALUE($F99),0)/$H99),0),0)</f>
        <v/>
      </c>
      <c r="J99" s="21">
        <f>IF($A99="",0,IF($G99="SI",ROUND(IFERROR(VALUE($E99),0)+$I99,4),ROUND(IFERROR(VALUE($E99),0),4)))</f>
        <v/>
      </c>
      <c r="K99" s="21">
        <f>IF($A99="","",IF(IFERROR(VALUE($D99),0)&lt;&gt;1,"Non attiva",IF(IFERROR(VALUE($E99),0)&lt;Parametri!$B$2,"Sotto soglia","")))</f>
        <v/>
      </c>
      <c r="L99" s="21">
        <f>IF($A99="","",$A99&amp;"|"&amp;$C99)</f>
        <v/>
      </c>
      <c r="M99" s="21">
        <f>IF($A99="","",$C99&amp;"|"&amp;TEXT($J99,"0.0000"))</f>
        <v/>
      </c>
    </row>
    <row r="100">
      <c r="A100" s="20" t="n"/>
      <c r="B100" s="20" t="n"/>
      <c r="C100" s="20" t="n"/>
      <c r="D100" s="20" t="n"/>
      <c r="E100" s="20" t="n"/>
      <c r="F100" s="20" t="n"/>
      <c r="G100" s="21">
        <f>IF($A100="","",IF(IFERROR(VALUE($D100),0)&lt;&gt;1,"NO",IF(IFERROR(VALUE($E100),0)&gt;=Parametri!$B$2,"SI","NO")))</f>
        <v/>
      </c>
      <c r="H100" s="21">
        <f>IF($G100="SI",SUMPRODUCT(MAX(($C$2:$C$200=$C100)*(IFERROR($D$2:$D$200*1,0)=1)*(IFERROR($E$2:$E$200*1,0)&gt;=Parametri!$B$2)*IFERROR($F$2:$F$200*1,0))),0)</f>
        <v/>
      </c>
      <c r="I100" s="21">
        <f>IF($G100="SI",IF($H100&gt;0,30*(IFERROR(VALUE($F100),0)/$H100),0),0)</f>
        <v/>
      </c>
      <c r="J100" s="21">
        <f>IF($A100="",0,IF($G100="SI",ROUND(IFERROR(VALUE($E100),0)+$I100,4),ROUND(IFERROR(VALUE($E100),0),4)))</f>
        <v/>
      </c>
      <c r="K100" s="21">
        <f>IF($A100="","",IF(IFERROR(VALUE($D100),0)&lt;&gt;1,"Non attiva",IF(IFERROR(VALUE($E100),0)&lt;Parametri!$B$2,"Sotto soglia","")))</f>
        <v/>
      </c>
      <c r="L100" s="21">
        <f>IF($A100="","",$A100&amp;"|"&amp;$C100)</f>
        <v/>
      </c>
      <c r="M100" s="21">
        <f>IF($A100="","",$C100&amp;"|"&amp;TEXT($J100,"0.0000"))</f>
        <v/>
      </c>
    </row>
    <row r="101">
      <c r="A101" s="20" t="n"/>
      <c r="B101" s="20" t="n"/>
      <c r="C101" s="20" t="n"/>
      <c r="D101" s="20" t="n"/>
      <c r="E101" s="20" t="n"/>
      <c r="F101" s="20" t="n"/>
      <c r="G101" s="21">
        <f>IF($A101="","",IF(IFERROR(VALUE($D101),0)&lt;&gt;1,"NO",IF(IFERROR(VALUE($E101),0)&gt;=Parametri!$B$2,"SI","NO")))</f>
        <v/>
      </c>
      <c r="H101" s="21">
        <f>IF($G101="SI",SUMPRODUCT(MAX(($C$2:$C$200=$C101)*(IFERROR($D$2:$D$200*1,0)=1)*(IFERROR($E$2:$E$200*1,0)&gt;=Parametri!$B$2)*IFERROR($F$2:$F$200*1,0))),0)</f>
        <v/>
      </c>
      <c r="I101" s="21">
        <f>IF($G101="SI",IF($H101&gt;0,30*(IFERROR(VALUE($F101),0)/$H101),0),0)</f>
        <v/>
      </c>
      <c r="J101" s="21">
        <f>IF($A101="",0,IF($G101="SI",ROUND(IFERROR(VALUE($E101),0)+$I101,4),ROUND(IFERROR(VALUE($E101),0),4)))</f>
        <v/>
      </c>
      <c r="K101" s="21">
        <f>IF($A101="","",IF(IFERROR(VALUE($D101),0)&lt;&gt;1,"Non attiva",IF(IFERROR(VALUE($E101),0)&lt;Parametri!$B$2,"Sotto soglia","")))</f>
        <v/>
      </c>
      <c r="L101" s="21">
        <f>IF($A101="","",$A101&amp;"|"&amp;$C101)</f>
        <v/>
      </c>
      <c r="M101" s="21">
        <f>IF($A101="","",$C101&amp;"|"&amp;TEXT($J101,"0.0000"))</f>
        <v/>
      </c>
    </row>
    <row r="102">
      <c r="A102" s="20" t="n"/>
      <c r="B102" s="20" t="n"/>
      <c r="C102" s="20" t="n"/>
      <c r="D102" s="20" t="n"/>
      <c r="E102" s="20" t="n"/>
      <c r="F102" s="20" t="n"/>
      <c r="G102" s="21">
        <f>IF($A102="","",IF(IFERROR(VALUE($D102),0)&lt;&gt;1,"NO",IF(IFERROR(VALUE($E102),0)&gt;=Parametri!$B$2,"SI","NO")))</f>
        <v/>
      </c>
      <c r="H102" s="21">
        <f>IF($G102="SI",SUMPRODUCT(MAX(($C$2:$C$200=$C102)*(IFERROR($D$2:$D$200*1,0)=1)*(IFERROR($E$2:$E$200*1,0)&gt;=Parametri!$B$2)*IFERROR($F$2:$F$200*1,0))),0)</f>
        <v/>
      </c>
      <c r="I102" s="21">
        <f>IF($G102="SI",IF($H102&gt;0,30*(IFERROR(VALUE($F102),0)/$H102),0),0)</f>
        <v/>
      </c>
      <c r="J102" s="21">
        <f>IF($A102="",0,IF($G102="SI",ROUND(IFERROR(VALUE($E102),0)+$I102,4),ROUND(IFERROR(VALUE($E102),0),4)))</f>
        <v/>
      </c>
      <c r="K102" s="21">
        <f>IF($A102="","",IF(IFERROR(VALUE($D102),0)&lt;&gt;1,"Non attiva",IF(IFERROR(VALUE($E102),0)&lt;Parametri!$B$2,"Sotto soglia","")))</f>
        <v/>
      </c>
      <c r="L102" s="21">
        <f>IF($A102="","",$A102&amp;"|"&amp;$C102)</f>
        <v/>
      </c>
      <c r="M102" s="21">
        <f>IF($A102="","",$C102&amp;"|"&amp;TEXT($J102,"0.0000"))</f>
        <v/>
      </c>
    </row>
    <row r="103">
      <c r="A103" s="20" t="n"/>
      <c r="B103" s="20" t="n"/>
      <c r="C103" s="20" t="n"/>
      <c r="D103" s="20" t="n"/>
      <c r="E103" s="20" t="n"/>
      <c r="F103" s="20" t="n"/>
      <c r="G103" s="21">
        <f>IF($A103="","",IF(IFERROR(VALUE($D103),0)&lt;&gt;1,"NO",IF(IFERROR(VALUE($E103),0)&gt;=Parametri!$B$2,"SI","NO")))</f>
        <v/>
      </c>
      <c r="H103" s="21">
        <f>IF($G103="SI",SUMPRODUCT(MAX(($C$2:$C$200=$C103)*(IFERROR($D$2:$D$200*1,0)=1)*(IFERROR($E$2:$E$200*1,0)&gt;=Parametri!$B$2)*IFERROR($F$2:$F$200*1,0))),0)</f>
        <v/>
      </c>
      <c r="I103" s="21">
        <f>IF($G103="SI",IF($H103&gt;0,30*(IFERROR(VALUE($F103),0)/$H103),0),0)</f>
        <v/>
      </c>
      <c r="J103" s="21">
        <f>IF($A103="",0,IF($G103="SI",ROUND(IFERROR(VALUE($E103),0)+$I103,4),ROUND(IFERROR(VALUE($E103),0),4)))</f>
        <v/>
      </c>
      <c r="K103" s="21">
        <f>IF($A103="","",IF(IFERROR(VALUE($D103),0)&lt;&gt;1,"Non attiva",IF(IFERROR(VALUE($E103),0)&lt;Parametri!$B$2,"Sotto soglia","")))</f>
        <v/>
      </c>
      <c r="L103" s="21">
        <f>IF($A103="","",$A103&amp;"|"&amp;$C103)</f>
        <v/>
      </c>
      <c r="M103" s="21">
        <f>IF($A103="","",$C103&amp;"|"&amp;TEXT($J103,"0.0000"))</f>
        <v/>
      </c>
    </row>
    <row r="104">
      <c r="A104" s="20" t="n"/>
      <c r="B104" s="20" t="n"/>
      <c r="C104" s="20" t="n"/>
      <c r="D104" s="20" t="n"/>
      <c r="E104" s="20" t="n"/>
      <c r="F104" s="20" t="n"/>
      <c r="G104" s="21">
        <f>IF($A104="","",IF(IFERROR(VALUE($D104),0)&lt;&gt;1,"NO",IF(IFERROR(VALUE($E104),0)&gt;=Parametri!$B$2,"SI","NO")))</f>
        <v/>
      </c>
      <c r="H104" s="21">
        <f>IF($G104="SI",SUMPRODUCT(MAX(($C$2:$C$200=$C104)*(IFERROR($D$2:$D$200*1,0)=1)*(IFERROR($E$2:$E$200*1,0)&gt;=Parametri!$B$2)*IFERROR($F$2:$F$200*1,0))),0)</f>
        <v/>
      </c>
      <c r="I104" s="21">
        <f>IF($G104="SI",IF($H104&gt;0,30*(IFERROR(VALUE($F104),0)/$H104),0),0)</f>
        <v/>
      </c>
      <c r="J104" s="21">
        <f>IF($A104="",0,IF($G104="SI",ROUND(IFERROR(VALUE($E104),0)+$I104,4),ROUND(IFERROR(VALUE($E104),0),4)))</f>
        <v/>
      </c>
      <c r="K104" s="21">
        <f>IF($A104="","",IF(IFERROR(VALUE($D104),0)&lt;&gt;1,"Non attiva",IF(IFERROR(VALUE($E104),0)&lt;Parametri!$B$2,"Sotto soglia","")))</f>
        <v/>
      </c>
      <c r="L104" s="21">
        <f>IF($A104="","",$A104&amp;"|"&amp;$C104)</f>
        <v/>
      </c>
      <c r="M104" s="21">
        <f>IF($A104="","",$C104&amp;"|"&amp;TEXT($J104,"0.0000"))</f>
        <v/>
      </c>
    </row>
    <row r="105">
      <c r="A105" s="20" t="n"/>
      <c r="B105" s="20" t="n"/>
      <c r="C105" s="20" t="n"/>
      <c r="D105" s="20" t="n"/>
      <c r="E105" s="20" t="n"/>
      <c r="F105" s="20" t="n"/>
      <c r="G105" s="21">
        <f>IF($A105="","",IF(IFERROR(VALUE($D105),0)&lt;&gt;1,"NO",IF(IFERROR(VALUE($E105),0)&gt;=Parametri!$B$2,"SI","NO")))</f>
        <v/>
      </c>
      <c r="H105" s="21">
        <f>IF($G105="SI",SUMPRODUCT(MAX(($C$2:$C$200=$C105)*(IFERROR($D$2:$D$200*1,0)=1)*(IFERROR($E$2:$E$200*1,0)&gt;=Parametri!$B$2)*IFERROR($F$2:$F$200*1,0))),0)</f>
        <v/>
      </c>
      <c r="I105" s="21">
        <f>IF($G105="SI",IF($H105&gt;0,30*(IFERROR(VALUE($F105),0)/$H105),0),0)</f>
        <v/>
      </c>
      <c r="J105" s="21">
        <f>IF($A105="",0,IF($G105="SI",ROUND(IFERROR(VALUE($E105),0)+$I105,4),ROUND(IFERROR(VALUE($E105),0),4)))</f>
        <v/>
      </c>
      <c r="K105" s="21">
        <f>IF($A105="","",IF(IFERROR(VALUE($D105),0)&lt;&gt;1,"Non attiva",IF(IFERROR(VALUE($E105),0)&lt;Parametri!$B$2,"Sotto soglia","")))</f>
        <v/>
      </c>
      <c r="L105" s="21">
        <f>IF($A105="","",$A105&amp;"|"&amp;$C105)</f>
        <v/>
      </c>
      <c r="M105" s="21">
        <f>IF($A105="","",$C105&amp;"|"&amp;TEXT($J105,"0.0000"))</f>
        <v/>
      </c>
    </row>
    <row r="106">
      <c r="A106" s="20" t="n"/>
      <c r="B106" s="20" t="n"/>
      <c r="C106" s="20" t="n"/>
      <c r="D106" s="20" t="n"/>
      <c r="E106" s="20" t="n"/>
      <c r="F106" s="20" t="n"/>
      <c r="G106" s="21">
        <f>IF($A106="","",IF(IFERROR(VALUE($D106),0)&lt;&gt;1,"NO",IF(IFERROR(VALUE($E106),0)&gt;=Parametri!$B$2,"SI","NO")))</f>
        <v/>
      </c>
      <c r="H106" s="21">
        <f>IF($G106="SI",SUMPRODUCT(MAX(($C$2:$C$200=$C106)*(IFERROR($D$2:$D$200*1,0)=1)*(IFERROR($E$2:$E$200*1,0)&gt;=Parametri!$B$2)*IFERROR($F$2:$F$200*1,0))),0)</f>
        <v/>
      </c>
      <c r="I106" s="21">
        <f>IF($G106="SI",IF($H106&gt;0,30*(IFERROR(VALUE($F106),0)/$H106),0),0)</f>
        <v/>
      </c>
      <c r="J106" s="21">
        <f>IF($A106="",0,IF($G106="SI",ROUND(IFERROR(VALUE($E106),0)+$I106,4),ROUND(IFERROR(VALUE($E106),0),4)))</f>
        <v/>
      </c>
      <c r="K106" s="21">
        <f>IF($A106="","",IF(IFERROR(VALUE($D106),0)&lt;&gt;1,"Non attiva",IF(IFERROR(VALUE($E106),0)&lt;Parametri!$B$2,"Sotto soglia","")))</f>
        <v/>
      </c>
      <c r="L106" s="21">
        <f>IF($A106="","",$A106&amp;"|"&amp;$C106)</f>
        <v/>
      </c>
      <c r="M106" s="21">
        <f>IF($A106="","",$C106&amp;"|"&amp;TEXT($J106,"0.0000"))</f>
        <v/>
      </c>
    </row>
    <row r="107">
      <c r="A107" s="20" t="n"/>
      <c r="B107" s="20" t="n"/>
      <c r="C107" s="20" t="n"/>
      <c r="D107" s="20" t="n"/>
      <c r="E107" s="20" t="n"/>
      <c r="F107" s="20" t="n"/>
      <c r="G107" s="21">
        <f>IF($A107="","",IF(IFERROR(VALUE($D107),0)&lt;&gt;1,"NO",IF(IFERROR(VALUE($E107),0)&gt;=Parametri!$B$2,"SI","NO")))</f>
        <v/>
      </c>
      <c r="H107" s="21">
        <f>IF($G107="SI",SUMPRODUCT(MAX(($C$2:$C$200=$C107)*(IFERROR($D$2:$D$200*1,0)=1)*(IFERROR($E$2:$E$200*1,0)&gt;=Parametri!$B$2)*IFERROR($F$2:$F$200*1,0))),0)</f>
        <v/>
      </c>
      <c r="I107" s="21">
        <f>IF($G107="SI",IF($H107&gt;0,30*(IFERROR(VALUE($F107),0)/$H107),0),0)</f>
        <v/>
      </c>
      <c r="J107" s="21">
        <f>IF($A107="",0,IF($G107="SI",ROUND(IFERROR(VALUE($E107),0)+$I107,4),ROUND(IFERROR(VALUE($E107),0),4)))</f>
        <v/>
      </c>
      <c r="K107" s="21">
        <f>IF($A107="","",IF(IFERROR(VALUE($D107),0)&lt;&gt;1,"Non attiva",IF(IFERROR(VALUE($E107),0)&lt;Parametri!$B$2,"Sotto soglia","")))</f>
        <v/>
      </c>
      <c r="L107" s="21">
        <f>IF($A107="","",$A107&amp;"|"&amp;$C107)</f>
        <v/>
      </c>
      <c r="M107" s="21">
        <f>IF($A107="","",$C107&amp;"|"&amp;TEXT($J107,"0.0000"))</f>
        <v/>
      </c>
    </row>
    <row r="108">
      <c r="A108" s="20" t="n"/>
      <c r="B108" s="20" t="n"/>
      <c r="C108" s="20" t="n"/>
      <c r="D108" s="20" t="n"/>
      <c r="E108" s="20" t="n"/>
      <c r="F108" s="20" t="n"/>
      <c r="G108" s="21">
        <f>IF($A108="","",IF(IFERROR(VALUE($D108),0)&lt;&gt;1,"NO",IF(IFERROR(VALUE($E108),0)&gt;=Parametri!$B$2,"SI","NO")))</f>
        <v/>
      </c>
      <c r="H108" s="21">
        <f>IF($G108="SI",SUMPRODUCT(MAX(($C$2:$C$200=$C108)*(IFERROR($D$2:$D$200*1,0)=1)*(IFERROR($E$2:$E$200*1,0)&gt;=Parametri!$B$2)*IFERROR($F$2:$F$200*1,0))),0)</f>
        <v/>
      </c>
      <c r="I108" s="21">
        <f>IF($G108="SI",IF($H108&gt;0,30*(IFERROR(VALUE($F108),0)/$H108),0),0)</f>
        <v/>
      </c>
      <c r="J108" s="21">
        <f>IF($A108="",0,IF($G108="SI",ROUND(IFERROR(VALUE($E108),0)+$I108,4),ROUND(IFERROR(VALUE($E108),0),4)))</f>
        <v/>
      </c>
      <c r="K108" s="21">
        <f>IF($A108="","",IF(IFERROR(VALUE($D108),0)&lt;&gt;1,"Non attiva",IF(IFERROR(VALUE($E108),0)&lt;Parametri!$B$2,"Sotto soglia","")))</f>
        <v/>
      </c>
      <c r="L108" s="21">
        <f>IF($A108="","",$A108&amp;"|"&amp;$C108)</f>
        <v/>
      </c>
      <c r="M108" s="21">
        <f>IF($A108="","",$C108&amp;"|"&amp;TEXT($J108,"0.0000"))</f>
        <v/>
      </c>
    </row>
    <row r="109">
      <c r="A109" s="20" t="n"/>
      <c r="B109" s="20" t="n"/>
      <c r="C109" s="20" t="n"/>
      <c r="D109" s="20" t="n"/>
      <c r="E109" s="20" t="n"/>
      <c r="F109" s="20" t="n"/>
      <c r="G109" s="21">
        <f>IF($A109="","",IF(IFERROR(VALUE($D109),0)&lt;&gt;1,"NO",IF(IFERROR(VALUE($E109),0)&gt;=Parametri!$B$2,"SI","NO")))</f>
        <v/>
      </c>
      <c r="H109" s="21">
        <f>IF($G109="SI",SUMPRODUCT(MAX(($C$2:$C$200=$C109)*(IFERROR($D$2:$D$200*1,0)=1)*(IFERROR($E$2:$E$200*1,0)&gt;=Parametri!$B$2)*IFERROR($F$2:$F$200*1,0))),0)</f>
        <v/>
      </c>
      <c r="I109" s="21">
        <f>IF($G109="SI",IF($H109&gt;0,30*(IFERROR(VALUE($F109),0)/$H109),0),0)</f>
        <v/>
      </c>
      <c r="J109" s="21">
        <f>IF($A109="",0,IF($G109="SI",ROUND(IFERROR(VALUE($E109),0)+$I109,4),ROUND(IFERROR(VALUE($E109),0),4)))</f>
        <v/>
      </c>
      <c r="K109" s="21">
        <f>IF($A109="","",IF(IFERROR(VALUE($D109),0)&lt;&gt;1,"Non attiva",IF(IFERROR(VALUE($E109),0)&lt;Parametri!$B$2,"Sotto soglia","")))</f>
        <v/>
      </c>
      <c r="L109" s="21">
        <f>IF($A109="","",$A109&amp;"|"&amp;$C109)</f>
        <v/>
      </c>
      <c r="M109" s="21">
        <f>IF($A109="","",$C109&amp;"|"&amp;TEXT($J109,"0.0000"))</f>
        <v/>
      </c>
    </row>
    <row r="110">
      <c r="A110" s="20" t="n"/>
      <c r="B110" s="20" t="n"/>
      <c r="C110" s="20" t="n"/>
      <c r="D110" s="20" t="n"/>
      <c r="E110" s="20" t="n"/>
      <c r="F110" s="20" t="n"/>
      <c r="G110" s="21">
        <f>IF($A110="","",IF(IFERROR(VALUE($D110),0)&lt;&gt;1,"NO",IF(IFERROR(VALUE($E110),0)&gt;=Parametri!$B$2,"SI","NO")))</f>
        <v/>
      </c>
      <c r="H110" s="21">
        <f>IF($G110="SI",SUMPRODUCT(MAX(($C$2:$C$200=$C110)*(IFERROR($D$2:$D$200*1,0)=1)*(IFERROR($E$2:$E$200*1,0)&gt;=Parametri!$B$2)*IFERROR($F$2:$F$200*1,0))),0)</f>
        <v/>
      </c>
      <c r="I110" s="21">
        <f>IF($G110="SI",IF($H110&gt;0,30*(IFERROR(VALUE($F110),0)/$H110),0),0)</f>
        <v/>
      </c>
      <c r="J110" s="21">
        <f>IF($A110="",0,IF($G110="SI",ROUND(IFERROR(VALUE($E110),0)+$I110,4),ROUND(IFERROR(VALUE($E110),0),4)))</f>
        <v/>
      </c>
      <c r="K110" s="21">
        <f>IF($A110="","",IF(IFERROR(VALUE($D110),0)&lt;&gt;1,"Non attiva",IF(IFERROR(VALUE($E110),0)&lt;Parametri!$B$2,"Sotto soglia","")))</f>
        <v/>
      </c>
      <c r="L110" s="21">
        <f>IF($A110="","",$A110&amp;"|"&amp;$C110)</f>
        <v/>
      </c>
      <c r="M110" s="21">
        <f>IF($A110="","",$C110&amp;"|"&amp;TEXT($J110,"0.0000"))</f>
        <v/>
      </c>
    </row>
    <row r="111">
      <c r="A111" s="20" t="n"/>
      <c r="B111" s="20" t="n"/>
      <c r="C111" s="20" t="n"/>
      <c r="D111" s="20" t="n"/>
      <c r="E111" s="20" t="n"/>
      <c r="F111" s="20" t="n"/>
      <c r="G111" s="21">
        <f>IF($A111="","",IF(IFERROR(VALUE($D111),0)&lt;&gt;1,"NO",IF(IFERROR(VALUE($E111),0)&gt;=Parametri!$B$2,"SI","NO")))</f>
        <v/>
      </c>
      <c r="H111" s="21">
        <f>IF($G111="SI",SUMPRODUCT(MAX(($C$2:$C$200=$C111)*(IFERROR($D$2:$D$200*1,0)=1)*(IFERROR($E$2:$E$200*1,0)&gt;=Parametri!$B$2)*IFERROR($F$2:$F$200*1,0))),0)</f>
        <v/>
      </c>
      <c r="I111" s="21">
        <f>IF($G111="SI",IF($H111&gt;0,30*(IFERROR(VALUE($F111),0)/$H111),0),0)</f>
        <v/>
      </c>
      <c r="J111" s="21">
        <f>IF($A111="",0,IF($G111="SI",ROUND(IFERROR(VALUE($E111),0)+$I111,4),ROUND(IFERROR(VALUE($E111),0),4)))</f>
        <v/>
      </c>
      <c r="K111" s="21">
        <f>IF($A111="","",IF(IFERROR(VALUE($D111),0)&lt;&gt;1,"Non attiva",IF(IFERROR(VALUE($E111),0)&lt;Parametri!$B$2,"Sotto soglia","")))</f>
        <v/>
      </c>
      <c r="L111" s="21">
        <f>IF($A111="","",$A111&amp;"|"&amp;$C111)</f>
        <v/>
      </c>
      <c r="M111" s="21">
        <f>IF($A111="","",$C111&amp;"|"&amp;TEXT($J111,"0.0000"))</f>
        <v/>
      </c>
    </row>
    <row r="112">
      <c r="A112" s="20" t="n"/>
      <c r="B112" s="20" t="n"/>
      <c r="C112" s="20" t="n"/>
      <c r="D112" s="20" t="n"/>
      <c r="E112" s="20" t="n"/>
      <c r="F112" s="20" t="n"/>
      <c r="G112" s="21">
        <f>IF($A112="","",IF(IFERROR(VALUE($D112),0)&lt;&gt;1,"NO",IF(IFERROR(VALUE($E112),0)&gt;=Parametri!$B$2,"SI","NO")))</f>
        <v/>
      </c>
      <c r="H112" s="21">
        <f>IF($G112="SI",SUMPRODUCT(MAX(($C$2:$C$200=$C112)*(IFERROR($D$2:$D$200*1,0)=1)*(IFERROR($E$2:$E$200*1,0)&gt;=Parametri!$B$2)*IFERROR($F$2:$F$200*1,0))),0)</f>
        <v/>
      </c>
      <c r="I112" s="21">
        <f>IF($G112="SI",IF($H112&gt;0,30*(IFERROR(VALUE($F112),0)/$H112),0),0)</f>
        <v/>
      </c>
      <c r="J112" s="21">
        <f>IF($A112="",0,IF($G112="SI",ROUND(IFERROR(VALUE($E112),0)+$I112,4),ROUND(IFERROR(VALUE($E112),0),4)))</f>
        <v/>
      </c>
      <c r="K112" s="21">
        <f>IF($A112="","",IF(IFERROR(VALUE($D112),0)&lt;&gt;1,"Non attiva",IF(IFERROR(VALUE($E112),0)&lt;Parametri!$B$2,"Sotto soglia","")))</f>
        <v/>
      </c>
      <c r="L112" s="21">
        <f>IF($A112="","",$A112&amp;"|"&amp;$C112)</f>
        <v/>
      </c>
      <c r="M112" s="21">
        <f>IF($A112="","",$C112&amp;"|"&amp;TEXT($J112,"0.0000"))</f>
        <v/>
      </c>
    </row>
    <row r="113">
      <c r="A113" s="20" t="n"/>
      <c r="B113" s="20" t="n"/>
      <c r="C113" s="20" t="n"/>
      <c r="D113" s="20" t="n"/>
      <c r="E113" s="20" t="n"/>
      <c r="F113" s="20" t="n"/>
      <c r="G113" s="21">
        <f>IF($A113="","",IF(IFERROR(VALUE($D113),0)&lt;&gt;1,"NO",IF(IFERROR(VALUE($E113),0)&gt;=Parametri!$B$2,"SI","NO")))</f>
        <v/>
      </c>
      <c r="H113" s="21">
        <f>IF($G113="SI",SUMPRODUCT(MAX(($C$2:$C$200=$C113)*(IFERROR($D$2:$D$200*1,0)=1)*(IFERROR($E$2:$E$200*1,0)&gt;=Parametri!$B$2)*IFERROR($F$2:$F$200*1,0))),0)</f>
        <v/>
      </c>
      <c r="I113" s="21">
        <f>IF($G113="SI",IF($H113&gt;0,30*(IFERROR(VALUE($F113),0)/$H113),0),0)</f>
        <v/>
      </c>
      <c r="J113" s="21">
        <f>IF($A113="",0,IF($G113="SI",ROUND(IFERROR(VALUE($E113),0)+$I113,4),ROUND(IFERROR(VALUE($E113),0),4)))</f>
        <v/>
      </c>
      <c r="K113" s="21">
        <f>IF($A113="","",IF(IFERROR(VALUE($D113),0)&lt;&gt;1,"Non attiva",IF(IFERROR(VALUE($E113),0)&lt;Parametri!$B$2,"Sotto soglia","")))</f>
        <v/>
      </c>
      <c r="L113" s="21">
        <f>IF($A113="","",$A113&amp;"|"&amp;$C113)</f>
        <v/>
      </c>
      <c r="M113" s="21">
        <f>IF($A113="","",$C113&amp;"|"&amp;TEXT($J113,"0.0000"))</f>
        <v/>
      </c>
    </row>
    <row r="114">
      <c r="A114" s="20" t="n"/>
      <c r="B114" s="20" t="n"/>
      <c r="C114" s="20" t="n"/>
      <c r="D114" s="20" t="n"/>
      <c r="E114" s="20" t="n"/>
      <c r="F114" s="20" t="n"/>
      <c r="G114" s="21">
        <f>IF($A114="","",IF(IFERROR(VALUE($D114),0)&lt;&gt;1,"NO",IF(IFERROR(VALUE($E114),0)&gt;=Parametri!$B$2,"SI","NO")))</f>
        <v/>
      </c>
      <c r="H114" s="21">
        <f>IF($G114="SI",SUMPRODUCT(MAX(($C$2:$C$200=$C114)*(IFERROR($D$2:$D$200*1,0)=1)*(IFERROR($E$2:$E$200*1,0)&gt;=Parametri!$B$2)*IFERROR($F$2:$F$200*1,0))),0)</f>
        <v/>
      </c>
      <c r="I114" s="21">
        <f>IF($G114="SI",IF($H114&gt;0,30*(IFERROR(VALUE($F114),0)/$H114),0),0)</f>
        <v/>
      </c>
      <c r="J114" s="21">
        <f>IF($A114="",0,IF($G114="SI",ROUND(IFERROR(VALUE($E114),0)+$I114,4),ROUND(IFERROR(VALUE($E114),0),4)))</f>
        <v/>
      </c>
      <c r="K114" s="21">
        <f>IF($A114="","",IF(IFERROR(VALUE($D114),0)&lt;&gt;1,"Non attiva",IF(IFERROR(VALUE($E114),0)&lt;Parametri!$B$2,"Sotto soglia","")))</f>
        <v/>
      </c>
      <c r="L114" s="21">
        <f>IF($A114="","",$A114&amp;"|"&amp;$C114)</f>
        <v/>
      </c>
      <c r="M114" s="21">
        <f>IF($A114="","",$C114&amp;"|"&amp;TEXT($J114,"0.0000"))</f>
        <v/>
      </c>
    </row>
    <row r="115">
      <c r="A115" s="20" t="n"/>
      <c r="B115" s="20" t="n"/>
      <c r="C115" s="20" t="n"/>
      <c r="D115" s="20" t="n"/>
      <c r="E115" s="20" t="n"/>
      <c r="F115" s="20" t="n"/>
      <c r="G115" s="21">
        <f>IF($A115="","",IF(IFERROR(VALUE($D115),0)&lt;&gt;1,"NO",IF(IFERROR(VALUE($E115),0)&gt;=Parametri!$B$2,"SI","NO")))</f>
        <v/>
      </c>
      <c r="H115" s="21">
        <f>IF($G115="SI",SUMPRODUCT(MAX(($C$2:$C$200=$C115)*(IFERROR($D$2:$D$200*1,0)=1)*(IFERROR($E$2:$E$200*1,0)&gt;=Parametri!$B$2)*IFERROR($F$2:$F$200*1,0))),0)</f>
        <v/>
      </c>
      <c r="I115" s="21">
        <f>IF($G115="SI",IF($H115&gt;0,30*(IFERROR(VALUE($F115),0)/$H115),0),0)</f>
        <v/>
      </c>
      <c r="J115" s="21">
        <f>IF($A115="",0,IF($G115="SI",ROUND(IFERROR(VALUE($E115),0)+$I115,4),ROUND(IFERROR(VALUE($E115),0),4)))</f>
        <v/>
      </c>
      <c r="K115" s="21">
        <f>IF($A115="","",IF(IFERROR(VALUE($D115),0)&lt;&gt;1,"Non attiva",IF(IFERROR(VALUE($E115),0)&lt;Parametri!$B$2,"Sotto soglia","")))</f>
        <v/>
      </c>
      <c r="L115" s="21">
        <f>IF($A115="","",$A115&amp;"|"&amp;$C115)</f>
        <v/>
      </c>
      <c r="M115" s="21">
        <f>IF($A115="","",$C115&amp;"|"&amp;TEXT($J115,"0.0000"))</f>
        <v/>
      </c>
    </row>
    <row r="116">
      <c r="A116" s="20" t="n"/>
      <c r="B116" s="20" t="n"/>
      <c r="C116" s="20" t="n"/>
      <c r="D116" s="20" t="n"/>
      <c r="E116" s="20" t="n"/>
      <c r="F116" s="20" t="n"/>
      <c r="G116" s="21">
        <f>IF($A116="","",IF(IFERROR(VALUE($D116),0)&lt;&gt;1,"NO",IF(IFERROR(VALUE($E116),0)&gt;=Parametri!$B$2,"SI","NO")))</f>
        <v/>
      </c>
      <c r="H116" s="21">
        <f>IF($G116="SI",SUMPRODUCT(MAX(($C$2:$C$200=$C116)*(IFERROR($D$2:$D$200*1,0)=1)*(IFERROR($E$2:$E$200*1,0)&gt;=Parametri!$B$2)*IFERROR($F$2:$F$200*1,0))),0)</f>
        <v/>
      </c>
      <c r="I116" s="21">
        <f>IF($G116="SI",IF($H116&gt;0,30*(IFERROR(VALUE($F116),0)/$H116),0),0)</f>
        <v/>
      </c>
      <c r="J116" s="21">
        <f>IF($A116="",0,IF($G116="SI",ROUND(IFERROR(VALUE($E116),0)+$I116,4),ROUND(IFERROR(VALUE($E116),0),4)))</f>
        <v/>
      </c>
      <c r="K116" s="21">
        <f>IF($A116="","",IF(IFERROR(VALUE($D116),0)&lt;&gt;1,"Non attiva",IF(IFERROR(VALUE($E116),0)&lt;Parametri!$B$2,"Sotto soglia","")))</f>
        <v/>
      </c>
      <c r="L116" s="21">
        <f>IF($A116="","",$A116&amp;"|"&amp;$C116)</f>
        <v/>
      </c>
      <c r="M116" s="21">
        <f>IF($A116="","",$C116&amp;"|"&amp;TEXT($J116,"0.0000"))</f>
        <v/>
      </c>
    </row>
    <row r="117">
      <c r="A117" s="20" t="n"/>
      <c r="B117" s="20" t="n"/>
      <c r="C117" s="20" t="n"/>
      <c r="D117" s="20" t="n"/>
      <c r="E117" s="20" t="n"/>
      <c r="F117" s="20" t="n"/>
      <c r="G117" s="21">
        <f>IF($A117="","",IF(IFERROR(VALUE($D117),0)&lt;&gt;1,"NO",IF(IFERROR(VALUE($E117),0)&gt;=Parametri!$B$2,"SI","NO")))</f>
        <v/>
      </c>
      <c r="H117" s="21">
        <f>IF($G117="SI",SUMPRODUCT(MAX(($C$2:$C$200=$C117)*(IFERROR($D$2:$D$200*1,0)=1)*(IFERROR($E$2:$E$200*1,0)&gt;=Parametri!$B$2)*IFERROR($F$2:$F$200*1,0))),0)</f>
        <v/>
      </c>
      <c r="I117" s="21">
        <f>IF($G117="SI",IF($H117&gt;0,30*(IFERROR(VALUE($F117),0)/$H117),0),0)</f>
        <v/>
      </c>
      <c r="J117" s="21">
        <f>IF($A117="",0,IF($G117="SI",ROUND(IFERROR(VALUE($E117),0)+$I117,4),ROUND(IFERROR(VALUE($E117),0),4)))</f>
        <v/>
      </c>
      <c r="K117" s="21">
        <f>IF($A117="","",IF(IFERROR(VALUE($D117),0)&lt;&gt;1,"Non attiva",IF(IFERROR(VALUE($E117),0)&lt;Parametri!$B$2,"Sotto soglia","")))</f>
        <v/>
      </c>
      <c r="L117" s="21">
        <f>IF($A117="","",$A117&amp;"|"&amp;$C117)</f>
        <v/>
      </c>
      <c r="M117" s="21">
        <f>IF($A117="","",$C117&amp;"|"&amp;TEXT($J117,"0.0000"))</f>
        <v/>
      </c>
    </row>
    <row r="118">
      <c r="A118" s="20" t="n"/>
      <c r="B118" s="20" t="n"/>
      <c r="C118" s="20" t="n"/>
      <c r="D118" s="20" t="n"/>
      <c r="E118" s="20" t="n"/>
      <c r="F118" s="20" t="n"/>
      <c r="G118" s="21">
        <f>IF($A118="","",IF(IFERROR(VALUE($D118),0)&lt;&gt;1,"NO",IF(IFERROR(VALUE($E118),0)&gt;=Parametri!$B$2,"SI","NO")))</f>
        <v/>
      </c>
      <c r="H118" s="21">
        <f>IF($G118="SI",SUMPRODUCT(MAX(($C$2:$C$200=$C118)*(IFERROR($D$2:$D$200*1,0)=1)*(IFERROR($E$2:$E$200*1,0)&gt;=Parametri!$B$2)*IFERROR($F$2:$F$200*1,0))),0)</f>
        <v/>
      </c>
      <c r="I118" s="21">
        <f>IF($G118="SI",IF($H118&gt;0,30*(IFERROR(VALUE($F118),0)/$H118),0),0)</f>
        <v/>
      </c>
      <c r="J118" s="21">
        <f>IF($A118="",0,IF($G118="SI",ROUND(IFERROR(VALUE($E118),0)+$I118,4),ROUND(IFERROR(VALUE($E118),0),4)))</f>
        <v/>
      </c>
      <c r="K118" s="21">
        <f>IF($A118="","",IF(IFERROR(VALUE($D118),0)&lt;&gt;1,"Non attiva",IF(IFERROR(VALUE($E118),0)&lt;Parametri!$B$2,"Sotto soglia","")))</f>
        <v/>
      </c>
      <c r="L118" s="21">
        <f>IF($A118="","",$A118&amp;"|"&amp;$C118)</f>
        <v/>
      </c>
      <c r="M118" s="21">
        <f>IF($A118="","",$C118&amp;"|"&amp;TEXT($J118,"0.0000"))</f>
        <v/>
      </c>
    </row>
    <row r="119">
      <c r="A119" s="20" t="n"/>
      <c r="B119" s="20" t="n"/>
      <c r="C119" s="20" t="n"/>
      <c r="D119" s="20" t="n"/>
      <c r="E119" s="20" t="n"/>
      <c r="F119" s="20" t="n"/>
      <c r="G119" s="21">
        <f>IF($A119="","",IF(IFERROR(VALUE($D119),0)&lt;&gt;1,"NO",IF(IFERROR(VALUE($E119),0)&gt;=Parametri!$B$2,"SI","NO")))</f>
        <v/>
      </c>
      <c r="H119" s="21">
        <f>IF($G119="SI",SUMPRODUCT(MAX(($C$2:$C$200=$C119)*(IFERROR($D$2:$D$200*1,0)=1)*(IFERROR($E$2:$E$200*1,0)&gt;=Parametri!$B$2)*IFERROR($F$2:$F$200*1,0))),0)</f>
        <v/>
      </c>
      <c r="I119" s="21">
        <f>IF($G119="SI",IF($H119&gt;0,30*(IFERROR(VALUE($F119),0)/$H119),0),0)</f>
        <v/>
      </c>
      <c r="J119" s="21">
        <f>IF($A119="",0,IF($G119="SI",ROUND(IFERROR(VALUE($E119),0)+$I119,4),ROUND(IFERROR(VALUE($E119),0),4)))</f>
        <v/>
      </c>
      <c r="K119" s="21">
        <f>IF($A119="","",IF(IFERROR(VALUE($D119),0)&lt;&gt;1,"Non attiva",IF(IFERROR(VALUE($E119),0)&lt;Parametri!$B$2,"Sotto soglia","")))</f>
        <v/>
      </c>
      <c r="L119" s="21">
        <f>IF($A119="","",$A119&amp;"|"&amp;$C119)</f>
        <v/>
      </c>
      <c r="M119" s="21">
        <f>IF($A119="","",$C119&amp;"|"&amp;TEXT($J119,"0.0000"))</f>
        <v/>
      </c>
    </row>
    <row r="120">
      <c r="A120" s="20" t="n"/>
      <c r="B120" s="20" t="n"/>
      <c r="C120" s="20" t="n"/>
      <c r="D120" s="20" t="n"/>
      <c r="E120" s="20" t="n"/>
      <c r="F120" s="20" t="n"/>
      <c r="G120" s="21">
        <f>IF($A120="","",IF(IFERROR(VALUE($D120),0)&lt;&gt;1,"NO",IF(IFERROR(VALUE($E120),0)&gt;=Parametri!$B$2,"SI","NO")))</f>
        <v/>
      </c>
      <c r="H120" s="21">
        <f>IF($G120="SI",SUMPRODUCT(MAX(($C$2:$C$200=$C120)*(IFERROR($D$2:$D$200*1,0)=1)*(IFERROR($E$2:$E$200*1,0)&gt;=Parametri!$B$2)*IFERROR($F$2:$F$200*1,0))),0)</f>
        <v/>
      </c>
      <c r="I120" s="21">
        <f>IF($G120="SI",IF($H120&gt;0,30*(IFERROR(VALUE($F120),0)/$H120),0),0)</f>
        <v/>
      </c>
      <c r="J120" s="21">
        <f>IF($A120="",0,IF($G120="SI",ROUND(IFERROR(VALUE($E120),0)+$I120,4),ROUND(IFERROR(VALUE($E120),0),4)))</f>
        <v/>
      </c>
      <c r="K120" s="21">
        <f>IF($A120="","",IF(IFERROR(VALUE($D120),0)&lt;&gt;1,"Non attiva",IF(IFERROR(VALUE($E120),0)&lt;Parametri!$B$2,"Sotto soglia","")))</f>
        <v/>
      </c>
      <c r="L120" s="21">
        <f>IF($A120="","",$A120&amp;"|"&amp;$C120)</f>
        <v/>
      </c>
      <c r="M120" s="21">
        <f>IF($A120="","",$C120&amp;"|"&amp;TEXT($J120,"0.0000"))</f>
        <v/>
      </c>
    </row>
    <row r="121">
      <c r="A121" s="20" t="n"/>
      <c r="B121" s="20" t="n"/>
      <c r="C121" s="20" t="n"/>
      <c r="D121" s="20" t="n"/>
      <c r="E121" s="20" t="n"/>
      <c r="F121" s="20" t="n"/>
      <c r="G121" s="21">
        <f>IF($A121="","",IF(IFERROR(VALUE($D121),0)&lt;&gt;1,"NO",IF(IFERROR(VALUE($E121),0)&gt;=Parametri!$B$2,"SI","NO")))</f>
        <v/>
      </c>
      <c r="H121" s="21">
        <f>IF($G121="SI",SUMPRODUCT(MAX(($C$2:$C$200=$C121)*(IFERROR($D$2:$D$200*1,0)=1)*(IFERROR($E$2:$E$200*1,0)&gt;=Parametri!$B$2)*IFERROR($F$2:$F$200*1,0))),0)</f>
        <v/>
      </c>
      <c r="I121" s="21">
        <f>IF($G121="SI",IF($H121&gt;0,30*(IFERROR(VALUE($F121),0)/$H121),0),0)</f>
        <v/>
      </c>
      <c r="J121" s="21">
        <f>IF($A121="",0,IF($G121="SI",ROUND(IFERROR(VALUE($E121),0)+$I121,4),ROUND(IFERROR(VALUE($E121),0),4)))</f>
        <v/>
      </c>
      <c r="K121" s="21">
        <f>IF($A121="","",IF(IFERROR(VALUE($D121),0)&lt;&gt;1,"Non attiva",IF(IFERROR(VALUE($E121),0)&lt;Parametri!$B$2,"Sotto soglia","")))</f>
        <v/>
      </c>
      <c r="L121" s="21">
        <f>IF($A121="","",$A121&amp;"|"&amp;$C121)</f>
        <v/>
      </c>
      <c r="M121" s="21">
        <f>IF($A121="","",$C121&amp;"|"&amp;TEXT($J121,"0.0000"))</f>
        <v/>
      </c>
    </row>
    <row r="122">
      <c r="A122" s="20" t="n"/>
      <c r="B122" s="20" t="n"/>
      <c r="C122" s="20" t="n"/>
      <c r="D122" s="20" t="n"/>
      <c r="E122" s="20" t="n"/>
      <c r="F122" s="20" t="n"/>
      <c r="G122" s="21">
        <f>IF($A122="","",IF(IFERROR(VALUE($D122),0)&lt;&gt;1,"NO",IF(IFERROR(VALUE($E122),0)&gt;=Parametri!$B$2,"SI","NO")))</f>
        <v/>
      </c>
      <c r="H122" s="21">
        <f>IF($G122="SI",SUMPRODUCT(MAX(($C$2:$C$200=$C122)*(IFERROR($D$2:$D$200*1,0)=1)*(IFERROR($E$2:$E$200*1,0)&gt;=Parametri!$B$2)*IFERROR($F$2:$F$200*1,0))),0)</f>
        <v/>
      </c>
      <c r="I122" s="21">
        <f>IF($G122="SI",IF($H122&gt;0,30*(IFERROR(VALUE($F122),0)/$H122),0),0)</f>
        <v/>
      </c>
      <c r="J122" s="21">
        <f>IF($A122="",0,IF($G122="SI",ROUND(IFERROR(VALUE($E122),0)+$I122,4),ROUND(IFERROR(VALUE($E122),0),4)))</f>
        <v/>
      </c>
      <c r="K122" s="21">
        <f>IF($A122="","",IF(IFERROR(VALUE($D122),0)&lt;&gt;1,"Non attiva",IF(IFERROR(VALUE($E122),0)&lt;Parametri!$B$2,"Sotto soglia","")))</f>
        <v/>
      </c>
      <c r="L122" s="21">
        <f>IF($A122="","",$A122&amp;"|"&amp;$C122)</f>
        <v/>
      </c>
      <c r="M122" s="21">
        <f>IF($A122="","",$C122&amp;"|"&amp;TEXT($J122,"0.0000"))</f>
        <v/>
      </c>
    </row>
    <row r="123">
      <c r="A123" s="20" t="n"/>
      <c r="B123" s="20" t="n"/>
      <c r="C123" s="20" t="n"/>
      <c r="D123" s="20" t="n"/>
      <c r="E123" s="20" t="n"/>
      <c r="F123" s="20" t="n"/>
      <c r="G123" s="21">
        <f>IF($A123="","",IF(IFERROR(VALUE($D123),0)&lt;&gt;1,"NO",IF(IFERROR(VALUE($E123),0)&gt;=Parametri!$B$2,"SI","NO")))</f>
        <v/>
      </c>
      <c r="H123" s="21">
        <f>IF($G123="SI",SUMPRODUCT(MAX(($C$2:$C$200=$C123)*(IFERROR($D$2:$D$200*1,0)=1)*(IFERROR($E$2:$E$200*1,0)&gt;=Parametri!$B$2)*IFERROR($F$2:$F$200*1,0))),0)</f>
        <v/>
      </c>
      <c r="I123" s="21">
        <f>IF($G123="SI",IF($H123&gt;0,30*(IFERROR(VALUE($F123),0)/$H123),0),0)</f>
        <v/>
      </c>
      <c r="J123" s="21">
        <f>IF($A123="",0,IF($G123="SI",ROUND(IFERROR(VALUE($E123),0)+$I123,4),ROUND(IFERROR(VALUE($E123),0),4)))</f>
        <v/>
      </c>
      <c r="K123" s="21">
        <f>IF($A123="","",IF(IFERROR(VALUE($D123),0)&lt;&gt;1,"Non attiva",IF(IFERROR(VALUE($E123),0)&lt;Parametri!$B$2,"Sotto soglia","")))</f>
        <v/>
      </c>
      <c r="L123" s="21">
        <f>IF($A123="","",$A123&amp;"|"&amp;$C123)</f>
        <v/>
      </c>
      <c r="M123" s="21">
        <f>IF($A123="","",$C123&amp;"|"&amp;TEXT($J123,"0.0000"))</f>
        <v/>
      </c>
    </row>
    <row r="124">
      <c r="A124" s="20" t="n"/>
      <c r="B124" s="20" t="n"/>
      <c r="C124" s="20" t="n"/>
      <c r="D124" s="20" t="n"/>
      <c r="E124" s="20" t="n"/>
      <c r="F124" s="20" t="n"/>
      <c r="G124" s="21">
        <f>IF($A124="","",IF(IFERROR(VALUE($D124),0)&lt;&gt;1,"NO",IF(IFERROR(VALUE($E124),0)&gt;=Parametri!$B$2,"SI","NO")))</f>
        <v/>
      </c>
      <c r="H124" s="21">
        <f>IF($G124="SI",SUMPRODUCT(MAX(($C$2:$C$200=$C124)*(IFERROR($D$2:$D$200*1,0)=1)*(IFERROR($E$2:$E$200*1,0)&gt;=Parametri!$B$2)*IFERROR($F$2:$F$200*1,0))),0)</f>
        <v/>
      </c>
      <c r="I124" s="21">
        <f>IF($G124="SI",IF($H124&gt;0,30*(IFERROR(VALUE($F124),0)/$H124),0),0)</f>
        <v/>
      </c>
      <c r="J124" s="21">
        <f>IF($A124="",0,IF($G124="SI",ROUND(IFERROR(VALUE($E124),0)+$I124,4),ROUND(IFERROR(VALUE($E124),0),4)))</f>
        <v/>
      </c>
      <c r="K124" s="21">
        <f>IF($A124="","",IF(IFERROR(VALUE($D124),0)&lt;&gt;1,"Non attiva",IF(IFERROR(VALUE($E124),0)&lt;Parametri!$B$2,"Sotto soglia","")))</f>
        <v/>
      </c>
      <c r="L124" s="21">
        <f>IF($A124="","",$A124&amp;"|"&amp;$C124)</f>
        <v/>
      </c>
      <c r="M124" s="21">
        <f>IF($A124="","",$C124&amp;"|"&amp;TEXT($J124,"0.0000"))</f>
        <v/>
      </c>
    </row>
    <row r="125">
      <c r="A125" s="20" t="n"/>
      <c r="B125" s="20" t="n"/>
      <c r="C125" s="20" t="n"/>
      <c r="D125" s="20" t="n"/>
      <c r="E125" s="20" t="n"/>
      <c r="F125" s="20" t="n"/>
      <c r="G125" s="21">
        <f>IF($A125="","",IF(IFERROR(VALUE($D125),0)&lt;&gt;1,"NO",IF(IFERROR(VALUE($E125),0)&gt;=Parametri!$B$2,"SI","NO")))</f>
        <v/>
      </c>
      <c r="H125" s="21">
        <f>IF($G125="SI",SUMPRODUCT(MAX(($C$2:$C$200=$C125)*(IFERROR($D$2:$D$200*1,0)=1)*(IFERROR($E$2:$E$200*1,0)&gt;=Parametri!$B$2)*IFERROR($F$2:$F$200*1,0))),0)</f>
        <v/>
      </c>
      <c r="I125" s="21">
        <f>IF($G125="SI",IF($H125&gt;0,30*(IFERROR(VALUE($F125),0)/$H125),0),0)</f>
        <v/>
      </c>
      <c r="J125" s="21">
        <f>IF($A125="",0,IF($G125="SI",ROUND(IFERROR(VALUE($E125),0)+$I125,4),ROUND(IFERROR(VALUE($E125),0),4)))</f>
        <v/>
      </c>
      <c r="K125" s="21">
        <f>IF($A125="","",IF(IFERROR(VALUE($D125),0)&lt;&gt;1,"Non attiva",IF(IFERROR(VALUE($E125),0)&lt;Parametri!$B$2,"Sotto soglia","")))</f>
        <v/>
      </c>
      <c r="L125" s="21">
        <f>IF($A125="","",$A125&amp;"|"&amp;$C125)</f>
        <v/>
      </c>
      <c r="M125" s="21">
        <f>IF($A125="","",$C125&amp;"|"&amp;TEXT($J125,"0.0000"))</f>
        <v/>
      </c>
    </row>
    <row r="126">
      <c r="A126" s="20" t="n"/>
      <c r="B126" s="20" t="n"/>
      <c r="C126" s="20" t="n"/>
      <c r="D126" s="20" t="n"/>
      <c r="E126" s="20" t="n"/>
      <c r="F126" s="20" t="n"/>
      <c r="G126" s="21">
        <f>IF($A126="","",IF(IFERROR(VALUE($D126),0)&lt;&gt;1,"NO",IF(IFERROR(VALUE($E126),0)&gt;=Parametri!$B$2,"SI","NO")))</f>
        <v/>
      </c>
      <c r="H126" s="21">
        <f>IF($G126="SI",SUMPRODUCT(MAX(($C$2:$C$200=$C126)*(IFERROR($D$2:$D$200*1,0)=1)*(IFERROR($E$2:$E$200*1,0)&gt;=Parametri!$B$2)*IFERROR($F$2:$F$200*1,0))),0)</f>
        <v/>
      </c>
      <c r="I126" s="21">
        <f>IF($G126="SI",IF($H126&gt;0,30*(IFERROR(VALUE($F126),0)/$H126),0),0)</f>
        <v/>
      </c>
      <c r="J126" s="21">
        <f>IF($A126="",0,IF($G126="SI",ROUND(IFERROR(VALUE($E126),0)+$I126,4),ROUND(IFERROR(VALUE($E126),0),4)))</f>
        <v/>
      </c>
      <c r="K126" s="21">
        <f>IF($A126="","",IF(IFERROR(VALUE($D126),0)&lt;&gt;1,"Non attiva",IF(IFERROR(VALUE($E126),0)&lt;Parametri!$B$2,"Sotto soglia","")))</f>
        <v/>
      </c>
      <c r="L126" s="21">
        <f>IF($A126="","",$A126&amp;"|"&amp;$C126)</f>
        <v/>
      </c>
      <c r="M126" s="21">
        <f>IF($A126="","",$C126&amp;"|"&amp;TEXT($J126,"0.0000"))</f>
        <v/>
      </c>
    </row>
    <row r="127">
      <c r="A127" s="20" t="n"/>
      <c r="B127" s="20" t="n"/>
      <c r="C127" s="20" t="n"/>
      <c r="D127" s="20" t="n"/>
      <c r="E127" s="20" t="n"/>
      <c r="F127" s="20" t="n"/>
      <c r="G127" s="21">
        <f>IF($A127="","",IF(IFERROR(VALUE($D127),0)&lt;&gt;1,"NO",IF(IFERROR(VALUE($E127),0)&gt;=Parametri!$B$2,"SI","NO")))</f>
        <v/>
      </c>
      <c r="H127" s="21">
        <f>IF($G127="SI",SUMPRODUCT(MAX(($C$2:$C$200=$C127)*(IFERROR($D$2:$D$200*1,0)=1)*(IFERROR($E$2:$E$200*1,0)&gt;=Parametri!$B$2)*IFERROR($F$2:$F$200*1,0))),0)</f>
        <v/>
      </c>
      <c r="I127" s="21">
        <f>IF($G127="SI",IF($H127&gt;0,30*(IFERROR(VALUE($F127),0)/$H127),0),0)</f>
        <v/>
      </c>
      <c r="J127" s="21">
        <f>IF($A127="",0,IF($G127="SI",ROUND(IFERROR(VALUE($E127),0)+$I127,4),ROUND(IFERROR(VALUE($E127),0),4)))</f>
        <v/>
      </c>
      <c r="K127" s="21">
        <f>IF($A127="","",IF(IFERROR(VALUE($D127),0)&lt;&gt;1,"Non attiva",IF(IFERROR(VALUE($E127),0)&lt;Parametri!$B$2,"Sotto soglia","")))</f>
        <v/>
      </c>
      <c r="L127" s="21">
        <f>IF($A127="","",$A127&amp;"|"&amp;$C127)</f>
        <v/>
      </c>
      <c r="M127" s="21">
        <f>IF($A127="","",$C127&amp;"|"&amp;TEXT($J127,"0.0000"))</f>
        <v/>
      </c>
    </row>
    <row r="128">
      <c r="A128" s="20" t="n"/>
      <c r="B128" s="20" t="n"/>
      <c r="C128" s="20" t="n"/>
      <c r="D128" s="20" t="n"/>
      <c r="E128" s="20" t="n"/>
      <c r="F128" s="20" t="n"/>
      <c r="G128" s="21">
        <f>IF($A128="","",IF(IFERROR(VALUE($D128),0)&lt;&gt;1,"NO",IF(IFERROR(VALUE($E128),0)&gt;=Parametri!$B$2,"SI","NO")))</f>
        <v/>
      </c>
      <c r="H128" s="21">
        <f>IF($G128="SI",SUMPRODUCT(MAX(($C$2:$C$200=$C128)*(IFERROR($D$2:$D$200*1,0)=1)*(IFERROR($E$2:$E$200*1,0)&gt;=Parametri!$B$2)*IFERROR($F$2:$F$200*1,0))),0)</f>
        <v/>
      </c>
      <c r="I128" s="21">
        <f>IF($G128="SI",IF($H128&gt;0,30*(IFERROR(VALUE($F128),0)/$H128),0),0)</f>
        <v/>
      </c>
      <c r="J128" s="21">
        <f>IF($A128="",0,IF($G128="SI",ROUND(IFERROR(VALUE($E128),0)+$I128,4),ROUND(IFERROR(VALUE($E128),0),4)))</f>
        <v/>
      </c>
      <c r="K128" s="21">
        <f>IF($A128="","",IF(IFERROR(VALUE($D128),0)&lt;&gt;1,"Non attiva",IF(IFERROR(VALUE($E128),0)&lt;Parametri!$B$2,"Sotto soglia","")))</f>
        <v/>
      </c>
      <c r="L128" s="21">
        <f>IF($A128="","",$A128&amp;"|"&amp;$C128)</f>
        <v/>
      </c>
      <c r="M128" s="21">
        <f>IF($A128="","",$C128&amp;"|"&amp;TEXT($J128,"0.0000"))</f>
        <v/>
      </c>
    </row>
    <row r="129">
      <c r="A129" s="20" t="n"/>
      <c r="B129" s="20" t="n"/>
      <c r="C129" s="20" t="n"/>
      <c r="D129" s="20" t="n"/>
      <c r="E129" s="20" t="n"/>
      <c r="F129" s="20" t="n"/>
      <c r="G129" s="21">
        <f>IF($A129="","",IF(IFERROR(VALUE($D129),0)&lt;&gt;1,"NO",IF(IFERROR(VALUE($E129),0)&gt;=Parametri!$B$2,"SI","NO")))</f>
        <v/>
      </c>
      <c r="H129" s="21">
        <f>IF($G129="SI",SUMPRODUCT(MAX(($C$2:$C$200=$C129)*(IFERROR($D$2:$D$200*1,0)=1)*(IFERROR($E$2:$E$200*1,0)&gt;=Parametri!$B$2)*IFERROR($F$2:$F$200*1,0))),0)</f>
        <v/>
      </c>
      <c r="I129" s="21">
        <f>IF($G129="SI",IF($H129&gt;0,30*(IFERROR(VALUE($F129),0)/$H129),0),0)</f>
        <v/>
      </c>
      <c r="J129" s="21">
        <f>IF($A129="",0,IF($G129="SI",ROUND(IFERROR(VALUE($E129),0)+$I129,4),ROUND(IFERROR(VALUE($E129),0),4)))</f>
        <v/>
      </c>
      <c r="K129" s="21">
        <f>IF($A129="","",IF(IFERROR(VALUE($D129),0)&lt;&gt;1,"Non attiva",IF(IFERROR(VALUE($E129),0)&lt;Parametri!$B$2,"Sotto soglia","")))</f>
        <v/>
      </c>
      <c r="L129" s="21">
        <f>IF($A129="","",$A129&amp;"|"&amp;$C129)</f>
        <v/>
      </c>
      <c r="M129" s="21">
        <f>IF($A129="","",$C129&amp;"|"&amp;TEXT($J129,"0.0000"))</f>
        <v/>
      </c>
    </row>
    <row r="130">
      <c r="A130" s="20" t="n"/>
      <c r="B130" s="20" t="n"/>
      <c r="C130" s="20" t="n"/>
      <c r="D130" s="20" t="n"/>
      <c r="E130" s="20" t="n"/>
      <c r="F130" s="20" t="n"/>
      <c r="G130" s="21">
        <f>IF($A130="","",IF(IFERROR(VALUE($D130),0)&lt;&gt;1,"NO",IF(IFERROR(VALUE($E130),0)&gt;=Parametri!$B$2,"SI","NO")))</f>
        <v/>
      </c>
      <c r="H130" s="21">
        <f>IF($G130="SI",SUMPRODUCT(MAX(($C$2:$C$200=$C130)*(IFERROR($D$2:$D$200*1,0)=1)*(IFERROR($E$2:$E$200*1,0)&gt;=Parametri!$B$2)*IFERROR($F$2:$F$200*1,0))),0)</f>
        <v/>
      </c>
      <c r="I130" s="21">
        <f>IF($G130="SI",IF($H130&gt;0,30*(IFERROR(VALUE($F130),0)/$H130),0),0)</f>
        <v/>
      </c>
      <c r="J130" s="21">
        <f>IF($A130="",0,IF($G130="SI",ROUND(IFERROR(VALUE($E130),0)+$I130,4),ROUND(IFERROR(VALUE($E130),0),4)))</f>
        <v/>
      </c>
      <c r="K130" s="21">
        <f>IF($A130="","",IF(IFERROR(VALUE($D130),0)&lt;&gt;1,"Non attiva",IF(IFERROR(VALUE($E130),0)&lt;Parametri!$B$2,"Sotto soglia","")))</f>
        <v/>
      </c>
      <c r="L130" s="21">
        <f>IF($A130="","",$A130&amp;"|"&amp;$C130)</f>
        <v/>
      </c>
      <c r="M130" s="21">
        <f>IF($A130="","",$C130&amp;"|"&amp;TEXT($J130,"0.0000"))</f>
        <v/>
      </c>
    </row>
    <row r="131">
      <c r="A131" s="20" t="n"/>
      <c r="B131" s="20" t="n"/>
      <c r="C131" s="20" t="n"/>
      <c r="D131" s="20" t="n"/>
      <c r="E131" s="20" t="n"/>
      <c r="F131" s="20" t="n"/>
      <c r="G131" s="21">
        <f>IF($A131="","",IF(IFERROR(VALUE($D131),0)&lt;&gt;1,"NO",IF(IFERROR(VALUE($E131),0)&gt;=Parametri!$B$2,"SI","NO")))</f>
        <v/>
      </c>
      <c r="H131" s="21">
        <f>IF($G131="SI",SUMPRODUCT(MAX(($C$2:$C$200=$C131)*(IFERROR($D$2:$D$200*1,0)=1)*(IFERROR($E$2:$E$200*1,0)&gt;=Parametri!$B$2)*IFERROR($F$2:$F$200*1,0))),0)</f>
        <v/>
      </c>
      <c r="I131" s="21">
        <f>IF($G131="SI",IF($H131&gt;0,30*(IFERROR(VALUE($F131),0)/$H131),0),0)</f>
        <v/>
      </c>
      <c r="J131" s="21">
        <f>IF($A131="",0,IF($G131="SI",ROUND(IFERROR(VALUE($E131),0)+$I131,4),ROUND(IFERROR(VALUE($E131),0),4)))</f>
        <v/>
      </c>
      <c r="K131" s="21">
        <f>IF($A131="","",IF(IFERROR(VALUE($D131),0)&lt;&gt;1,"Non attiva",IF(IFERROR(VALUE($E131),0)&lt;Parametri!$B$2,"Sotto soglia","")))</f>
        <v/>
      </c>
      <c r="L131" s="21">
        <f>IF($A131="","",$A131&amp;"|"&amp;$C131)</f>
        <v/>
      </c>
      <c r="M131" s="21">
        <f>IF($A131="","",$C131&amp;"|"&amp;TEXT($J131,"0.0000"))</f>
        <v/>
      </c>
    </row>
    <row r="132">
      <c r="A132" s="20" t="n"/>
      <c r="B132" s="20" t="n"/>
      <c r="C132" s="20" t="n"/>
      <c r="D132" s="20" t="n"/>
      <c r="E132" s="20" t="n"/>
      <c r="F132" s="20" t="n"/>
      <c r="G132" s="21">
        <f>IF($A132="","",IF(IFERROR(VALUE($D132),0)&lt;&gt;1,"NO",IF(IFERROR(VALUE($E132),0)&gt;=Parametri!$B$2,"SI","NO")))</f>
        <v/>
      </c>
      <c r="H132" s="21">
        <f>IF($G132="SI",SUMPRODUCT(MAX(($C$2:$C$200=$C132)*(IFERROR($D$2:$D$200*1,0)=1)*(IFERROR($E$2:$E$200*1,0)&gt;=Parametri!$B$2)*IFERROR($F$2:$F$200*1,0))),0)</f>
        <v/>
      </c>
      <c r="I132" s="21">
        <f>IF($G132="SI",IF($H132&gt;0,30*(IFERROR(VALUE($F132),0)/$H132),0),0)</f>
        <v/>
      </c>
      <c r="J132" s="21">
        <f>IF($A132="",0,IF($G132="SI",ROUND(IFERROR(VALUE($E132),0)+$I132,4),ROUND(IFERROR(VALUE($E132),0),4)))</f>
        <v/>
      </c>
      <c r="K132" s="21">
        <f>IF($A132="","",IF(IFERROR(VALUE($D132),0)&lt;&gt;1,"Non attiva",IF(IFERROR(VALUE($E132),0)&lt;Parametri!$B$2,"Sotto soglia","")))</f>
        <v/>
      </c>
      <c r="L132" s="21">
        <f>IF($A132="","",$A132&amp;"|"&amp;$C132)</f>
        <v/>
      </c>
      <c r="M132" s="21">
        <f>IF($A132="","",$C132&amp;"|"&amp;TEXT($J132,"0.0000"))</f>
        <v/>
      </c>
    </row>
    <row r="133">
      <c r="A133" s="20" t="n"/>
      <c r="B133" s="20" t="n"/>
      <c r="C133" s="20" t="n"/>
      <c r="D133" s="20" t="n"/>
      <c r="E133" s="20" t="n"/>
      <c r="F133" s="20" t="n"/>
      <c r="G133" s="21">
        <f>IF($A133="","",IF(IFERROR(VALUE($D133),0)&lt;&gt;1,"NO",IF(IFERROR(VALUE($E133),0)&gt;=Parametri!$B$2,"SI","NO")))</f>
        <v/>
      </c>
      <c r="H133" s="21">
        <f>IF($G133="SI",SUMPRODUCT(MAX(($C$2:$C$200=$C133)*(IFERROR($D$2:$D$200*1,0)=1)*(IFERROR($E$2:$E$200*1,0)&gt;=Parametri!$B$2)*IFERROR($F$2:$F$200*1,0))),0)</f>
        <v/>
      </c>
      <c r="I133" s="21">
        <f>IF($G133="SI",IF($H133&gt;0,30*(IFERROR(VALUE($F133),0)/$H133),0),0)</f>
        <v/>
      </c>
      <c r="J133" s="21">
        <f>IF($A133="",0,IF($G133="SI",ROUND(IFERROR(VALUE($E133),0)+$I133,4),ROUND(IFERROR(VALUE($E133),0),4)))</f>
        <v/>
      </c>
      <c r="K133" s="21">
        <f>IF($A133="","",IF(IFERROR(VALUE($D133),0)&lt;&gt;1,"Non attiva",IF(IFERROR(VALUE($E133),0)&lt;Parametri!$B$2,"Sotto soglia","")))</f>
        <v/>
      </c>
      <c r="L133" s="21">
        <f>IF($A133="","",$A133&amp;"|"&amp;$C133)</f>
        <v/>
      </c>
      <c r="M133" s="21">
        <f>IF($A133="","",$C133&amp;"|"&amp;TEXT($J133,"0.0000"))</f>
        <v/>
      </c>
    </row>
    <row r="134">
      <c r="A134" s="20" t="n"/>
      <c r="B134" s="20" t="n"/>
      <c r="C134" s="20" t="n"/>
      <c r="D134" s="20" t="n"/>
      <c r="E134" s="20" t="n"/>
      <c r="F134" s="20" t="n"/>
      <c r="G134" s="21">
        <f>IF($A134="","",IF(IFERROR(VALUE($D134),0)&lt;&gt;1,"NO",IF(IFERROR(VALUE($E134),0)&gt;=Parametri!$B$2,"SI","NO")))</f>
        <v/>
      </c>
      <c r="H134" s="21">
        <f>IF($G134="SI",SUMPRODUCT(MAX(($C$2:$C$200=$C134)*(IFERROR($D$2:$D$200*1,0)=1)*(IFERROR($E$2:$E$200*1,0)&gt;=Parametri!$B$2)*IFERROR($F$2:$F$200*1,0))),0)</f>
        <v/>
      </c>
      <c r="I134" s="21">
        <f>IF($G134="SI",IF($H134&gt;0,30*(IFERROR(VALUE($F134),0)/$H134),0),0)</f>
        <v/>
      </c>
      <c r="J134" s="21">
        <f>IF($A134="",0,IF($G134="SI",ROUND(IFERROR(VALUE($E134),0)+$I134,4),ROUND(IFERROR(VALUE($E134),0),4)))</f>
        <v/>
      </c>
      <c r="K134" s="21">
        <f>IF($A134="","",IF(IFERROR(VALUE($D134),0)&lt;&gt;1,"Non attiva",IF(IFERROR(VALUE($E134),0)&lt;Parametri!$B$2,"Sotto soglia","")))</f>
        <v/>
      </c>
      <c r="L134" s="21">
        <f>IF($A134="","",$A134&amp;"|"&amp;$C134)</f>
        <v/>
      </c>
      <c r="M134" s="21">
        <f>IF($A134="","",$C134&amp;"|"&amp;TEXT($J134,"0.0000"))</f>
        <v/>
      </c>
    </row>
    <row r="135">
      <c r="A135" s="20" t="n"/>
      <c r="B135" s="20" t="n"/>
      <c r="C135" s="20" t="n"/>
      <c r="D135" s="20" t="n"/>
      <c r="E135" s="20" t="n"/>
      <c r="F135" s="20" t="n"/>
      <c r="G135" s="21">
        <f>IF($A135="","",IF(IFERROR(VALUE($D135),0)&lt;&gt;1,"NO",IF(IFERROR(VALUE($E135),0)&gt;=Parametri!$B$2,"SI","NO")))</f>
        <v/>
      </c>
      <c r="H135" s="21">
        <f>IF($G135="SI",SUMPRODUCT(MAX(($C$2:$C$200=$C135)*(IFERROR($D$2:$D$200*1,0)=1)*(IFERROR($E$2:$E$200*1,0)&gt;=Parametri!$B$2)*IFERROR($F$2:$F$200*1,0))),0)</f>
        <v/>
      </c>
      <c r="I135" s="21">
        <f>IF($G135="SI",IF($H135&gt;0,30*(IFERROR(VALUE($F135),0)/$H135),0),0)</f>
        <v/>
      </c>
      <c r="J135" s="21">
        <f>IF($A135="",0,IF($G135="SI",ROUND(IFERROR(VALUE($E135),0)+$I135,4),ROUND(IFERROR(VALUE($E135),0),4)))</f>
        <v/>
      </c>
      <c r="K135" s="21">
        <f>IF($A135="","",IF(IFERROR(VALUE($D135),0)&lt;&gt;1,"Non attiva",IF(IFERROR(VALUE($E135),0)&lt;Parametri!$B$2,"Sotto soglia","")))</f>
        <v/>
      </c>
      <c r="L135" s="21">
        <f>IF($A135="","",$A135&amp;"|"&amp;$C135)</f>
        <v/>
      </c>
      <c r="M135" s="21">
        <f>IF($A135="","",$C135&amp;"|"&amp;TEXT($J135,"0.0000"))</f>
        <v/>
      </c>
    </row>
    <row r="136">
      <c r="A136" s="20" t="n"/>
      <c r="B136" s="20" t="n"/>
      <c r="C136" s="20" t="n"/>
      <c r="D136" s="20" t="n"/>
      <c r="E136" s="20" t="n"/>
      <c r="F136" s="20" t="n"/>
      <c r="G136" s="21">
        <f>IF($A136="","",IF(IFERROR(VALUE($D136),0)&lt;&gt;1,"NO",IF(IFERROR(VALUE($E136),0)&gt;=Parametri!$B$2,"SI","NO")))</f>
        <v/>
      </c>
      <c r="H136" s="21">
        <f>IF($G136="SI",SUMPRODUCT(MAX(($C$2:$C$200=$C136)*(IFERROR($D$2:$D$200*1,0)=1)*(IFERROR($E$2:$E$200*1,0)&gt;=Parametri!$B$2)*IFERROR($F$2:$F$200*1,0))),0)</f>
        <v/>
      </c>
      <c r="I136" s="21">
        <f>IF($G136="SI",IF($H136&gt;0,30*(IFERROR(VALUE($F136),0)/$H136),0),0)</f>
        <v/>
      </c>
      <c r="J136" s="21">
        <f>IF($A136="",0,IF($G136="SI",ROUND(IFERROR(VALUE($E136),0)+$I136,4),ROUND(IFERROR(VALUE($E136),0),4)))</f>
        <v/>
      </c>
      <c r="K136" s="21">
        <f>IF($A136="","",IF(IFERROR(VALUE($D136),0)&lt;&gt;1,"Non attiva",IF(IFERROR(VALUE($E136),0)&lt;Parametri!$B$2,"Sotto soglia","")))</f>
        <v/>
      </c>
      <c r="L136" s="21">
        <f>IF($A136="","",$A136&amp;"|"&amp;$C136)</f>
        <v/>
      </c>
      <c r="M136" s="21">
        <f>IF($A136="","",$C136&amp;"|"&amp;TEXT($J136,"0.0000"))</f>
        <v/>
      </c>
    </row>
    <row r="137">
      <c r="A137" s="20" t="n"/>
      <c r="B137" s="20" t="n"/>
      <c r="C137" s="20" t="n"/>
      <c r="D137" s="20" t="n"/>
      <c r="E137" s="20" t="n"/>
      <c r="F137" s="20" t="n"/>
      <c r="G137" s="21">
        <f>IF($A137="","",IF(IFERROR(VALUE($D137),0)&lt;&gt;1,"NO",IF(IFERROR(VALUE($E137),0)&gt;=Parametri!$B$2,"SI","NO")))</f>
        <v/>
      </c>
      <c r="H137" s="21">
        <f>IF($G137="SI",SUMPRODUCT(MAX(($C$2:$C$200=$C137)*(IFERROR($D$2:$D$200*1,0)=1)*(IFERROR($E$2:$E$200*1,0)&gt;=Parametri!$B$2)*IFERROR($F$2:$F$200*1,0))),0)</f>
        <v/>
      </c>
      <c r="I137" s="21">
        <f>IF($G137="SI",IF($H137&gt;0,30*(IFERROR(VALUE($F137),0)/$H137),0),0)</f>
        <v/>
      </c>
      <c r="J137" s="21">
        <f>IF($A137="",0,IF($G137="SI",ROUND(IFERROR(VALUE($E137),0)+$I137,4),ROUND(IFERROR(VALUE($E137),0),4)))</f>
        <v/>
      </c>
      <c r="K137" s="21">
        <f>IF($A137="","",IF(IFERROR(VALUE($D137),0)&lt;&gt;1,"Non attiva",IF(IFERROR(VALUE($E137),0)&lt;Parametri!$B$2,"Sotto soglia","")))</f>
        <v/>
      </c>
      <c r="L137" s="21">
        <f>IF($A137="","",$A137&amp;"|"&amp;$C137)</f>
        <v/>
      </c>
      <c r="M137" s="21">
        <f>IF($A137="","",$C137&amp;"|"&amp;TEXT($J137,"0.0000"))</f>
        <v/>
      </c>
    </row>
    <row r="138">
      <c r="A138" s="20" t="n"/>
      <c r="B138" s="20" t="n"/>
      <c r="C138" s="20" t="n"/>
      <c r="D138" s="20" t="n"/>
      <c r="E138" s="20" t="n"/>
      <c r="F138" s="20" t="n"/>
      <c r="G138" s="21">
        <f>IF($A138="","",IF(IFERROR(VALUE($D138),0)&lt;&gt;1,"NO",IF(IFERROR(VALUE($E138),0)&gt;=Parametri!$B$2,"SI","NO")))</f>
        <v/>
      </c>
      <c r="H138" s="21">
        <f>IF($G138="SI",SUMPRODUCT(MAX(($C$2:$C$200=$C138)*(IFERROR($D$2:$D$200*1,0)=1)*(IFERROR($E$2:$E$200*1,0)&gt;=Parametri!$B$2)*IFERROR($F$2:$F$200*1,0))),0)</f>
        <v/>
      </c>
      <c r="I138" s="21">
        <f>IF($G138="SI",IF($H138&gt;0,30*(IFERROR(VALUE($F138),0)/$H138),0),0)</f>
        <v/>
      </c>
      <c r="J138" s="21">
        <f>IF($A138="",0,IF($G138="SI",ROUND(IFERROR(VALUE($E138),0)+$I138,4),ROUND(IFERROR(VALUE($E138),0),4)))</f>
        <v/>
      </c>
      <c r="K138" s="21">
        <f>IF($A138="","",IF(IFERROR(VALUE($D138),0)&lt;&gt;1,"Non attiva",IF(IFERROR(VALUE($E138),0)&lt;Parametri!$B$2,"Sotto soglia","")))</f>
        <v/>
      </c>
      <c r="L138" s="21">
        <f>IF($A138="","",$A138&amp;"|"&amp;$C138)</f>
        <v/>
      </c>
      <c r="M138" s="21">
        <f>IF($A138="","",$C138&amp;"|"&amp;TEXT($J138,"0.0000"))</f>
        <v/>
      </c>
    </row>
    <row r="139">
      <c r="A139" s="20" t="n"/>
      <c r="B139" s="20" t="n"/>
      <c r="C139" s="20" t="n"/>
      <c r="D139" s="20" t="n"/>
      <c r="E139" s="20" t="n"/>
      <c r="F139" s="20" t="n"/>
      <c r="G139" s="21">
        <f>IF($A139="","",IF(IFERROR(VALUE($D139),0)&lt;&gt;1,"NO",IF(IFERROR(VALUE($E139),0)&gt;=Parametri!$B$2,"SI","NO")))</f>
        <v/>
      </c>
      <c r="H139" s="21">
        <f>IF($G139="SI",SUMPRODUCT(MAX(($C$2:$C$200=$C139)*(IFERROR($D$2:$D$200*1,0)=1)*(IFERROR($E$2:$E$200*1,0)&gt;=Parametri!$B$2)*IFERROR($F$2:$F$200*1,0))),0)</f>
        <v/>
      </c>
      <c r="I139" s="21">
        <f>IF($G139="SI",IF($H139&gt;0,30*(IFERROR(VALUE($F139),0)/$H139),0),0)</f>
        <v/>
      </c>
      <c r="J139" s="21">
        <f>IF($A139="",0,IF($G139="SI",ROUND(IFERROR(VALUE($E139),0)+$I139,4),ROUND(IFERROR(VALUE($E139),0),4)))</f>
        <v/>
      </c>
      <c r="K139" s="21">
        <f>IF($A139="","",IF(IFERROR(VALUE($D139),0)&lt;&gt;1,"Non attiva",IF(IFERROR(VALUE($E139),0)&lt;Parametri!$B$2,"Sotto soglia","")))</f>
        <v/>
      </c>
      <c r="L139" s="21">
        <f>IF($A139="","",$A139&amp;"|"&amp;$C139)</f>
        <v/>
      </c>
      <c r="M139" s="21">
        <f>IF($A139="","",$C139&amp;"|"&amp;TEXT($J139,"0.0000"))</f>
        <v/>
      </c>
    </row>
    <row r="140">
      <c r="A140" s="20" t="n"/>
      <c r="B140" s="20" t="n"/>
      <c r="C140" s="20" t="n"/>
      <c r="D140" s="20" t="n"/>
      <c r="E140" s="20" t="n"/>
      <c r="F140" s="20" t="n"/>
      <c r="G140" s="21">
        <f>IF($A140="","",IF(IFERROR(VALUE($D140),0)&lt;&gt;1,"NO",IF(IFERROR(VALUE($E140),0)&gt;=Parametri!$B$2,"SI","NO")))</f>
        <v/>
      </c>
      <c r="H140" s="21">
        <f>IF($G140="SI",SUMPRODUCT(MAX(($C$2:$C$200=$C140)*(IFERROR($D$2:$D$200*1,0)=1)*(IFERROR($E$2:$E$200*1,0)&gt;=Parametri!$B$2)*IFERROR($F$2:$F$200*1,0))),0)</f>
        <v/>
      </c>
      <c r="I140" s="21">
        <f>IF($G140="SI",IF($H140&gt;0,30*(IFERROR(VALUE($F140),0)/$H140),0),0)</f>
        <v/>
      </c>
      <c r="J140" s="21">
        <f>IF($A140="",0,IF($G140="SI",ROUND(IFERROR(VALUE($E140),0)+$I140,4),ROUND(IFERROR(VALUE($E140),0),4)))</f>
        <v/>
      </c>
      <c r="K140" s="21">
        <f>IF($A140="","",IF(IFERROR(VALUE($D140),0)&lt;&gt;1,"Non attiva",IF(IFERROR(VALUE($E140),0)&lt;Parametri!$B$2,"Sotto soglia","")))</f>
        <v/>
      </c>
      <c r="L140" s="21">
        <f>IF($A140="","",$A140&amp;"|"&amp;$C140)</f>
        <v/>
      </c>
      <c r="M140" s="21">
        <f>IF($A140="","",$C140&amp;"|"&amp;TEXT($J140,"0.0000"))</f>
        <v/>
      </c>
    </row>
    <row r="141">
      <c r="A141" s="20" t="n"/>
      <c r="B141" s="20" t="n"/>
      <c r="C141" s="20" t="n"/>
      <c r="D141" s="20" t="n"/>
      <c r="E141" s="20" t="n"/>
      <c r="F141" s="20" t="n"/>
      <c r="G141" s="21">
        <f>IF($A141="","",IF(IFERROR(VALUE($D141),0)&lt;&gt;1,"NO",IF(IFERROR(VALUE($E141),0)&gt;=Parametri!$B$2,"SI","NO")))</f>
        <v/>
      </c>
      <c r="H141" s="21">
        <f>IF($G141="SI",SUMPRODUCT(MAX(($C$2:$C$200=$C141)*(IFERROR($D$2:$D$200*1,0)=1)*(IFERROR($E$2:$E$200*1,0)&gt;=Parametri!$B$2)*IFERROR($F$2:$F$200*1,0))),0)</f>
        <v/>
      </c>
      <c r="I141" s="21">
        <f>IF($G141="SI",IF($H141&gt;0,30*(IFERROR(VALUE($F141),0)/$H141),0),0)</f>
        <v/>
      </c>
      <c r="J141" s="21">
        <f>IF($A141="",0,IF($G141="SI",ROUND(IFERROR(VALUE($E141),0)+$I141,4),ROUND(IFERROR(VALUE($E141),0),4)))</f>
        <v/>
      </c>
      <c r="K141" s="21">
        <f>IF($A141="","",IF(IFERROR(VALUE($D141),0)&lt;&gt;1,"Non attiva",IF(IFERROR(VALUE($E141),0)&lt;Parametri!$B$2,"Sotto soglia","")))</f>
        <v/>
      </c>
      <c r="L141" s="21">
        <f>IF($A141="","",$A141&amp;"|"&amp;$C141)</f>
        <v/>
      </c>
      <c r="M141" s="21">
        <f>IF($A141="","",$C141&amp;"|"&amp;TEXT($J141,"0.0000"))</f>
        <v/>
      </c>
    </row>
    <row r="142">
      <c r="A142" s="20" t="n"/>
      <c r="B142" s="20" t="n"/>
      <c r="C142" s="20" t="n"/>
      <c r="D142" s="20" t="n"/>
      <c r="E142" s="20" t="n"/>
      <c r="F142" s="20" t="n"/>
      <c r="G142" s="21">
        <f>IF($A142="","",IF(IFERROR(VALUE($D142),0)&lt;&gt;1,"NO",IF(IFERROR(VALUE($E142),0)&gt;=Parametri!$B$2,"SI","NO")))</f>
        <v/>
      </c>
      <c r="H142" s="21">
        <f>IF($G142="SI",SUMPRODUCT(MAX(($C$2:$C$200=$C142)*(IFERROR($D$2:$D$200*1,0)=1)*(IFERROR($E$2:$E$200*1,0)&gt;=Parametri!$B$2)*IFERROR($F$2:$F$200*1,0))),0)</f>
        <v/>
      </c>
      <c r="I142" s="21">
        <f>IF($G142="SI",IF($H142&gt;0,30*(IFERROR(VALUE($F142),0)/$H142),0),0)</f>
        <v/>
      </c>
      <c r="J142" s="21">
        <f>IF($A142="",0,IF($G142="SI",ROUND(IFERROR(VALUE($E142),0)+$I142,4),ROUND(IFERROR(VALUE($E142),0),4)))</f>
        <v/>
      </c>
      <c r="K142" s="21">
        <f>IF($A142="","",IF(IFERROR(VALUE($D142),0)&lt;&gt;1,"Non attiva",IF(IFERROR(VALUE($E142),0)&lt;Parametri!$B$2,"Sotto soglia","")))</f>
        <v/>
      </c>
      <c r="L142" s="21">
        <f>IF($A142="","",$A142&amp;"|"&amp;$C142)</f>
        <v/>
      </c>
      <c r="M142" s="21">
        <f>IF($A142="","",$C142&amp;"|"&amp;TEXT($J142,"0.0000"))</f>
        <v/>
      </c>
    </row>
    <row r="143">
      <c r="A143" s="20" t="n"/>
      <c r="B143" s="20" t="n"/>
      <c r="C143" s="20" t="n"/>
      <c r="D143" s="20" t="n"/>
      <c r="E143" s="20" t="n"/>
      <c r="F143" s="20" t="n"/>
      <c r="G143" s="21">
        <f>IF($A143="","",IF(IFERROR(VALUE($D143),0)&lt;&gt;1,"NO",IF(IFERROR(VALUE($E143),0)&gt;=Parametri!$B$2,"SI","NO")))</f>
        <v/>
      </c>
      <c r="H143" s="21">
        <f>IF($G143="SI",SUMPRODUCT(MAX(($C$2:$C$200=$C143)*(IFERROR($D$2:$D$200*1,0)=1)*(IFERROR($E$2:$E$200*1,0)&gt;=Parametri!$B$2)*IFERROR($F$2:$F$200*1,0))),0)</f>
        <v/>
      </c>
      <c r="I143" s="21">
        <f>IF($G143="SI",IF($H143&gt;0,30*(IFERROR(VALUE($F143),0)/$H143),0),0)</f>
        <v/>
      </c>
      <c r="J143" s="21">
        <f>IF($A143="",0,IF($G143="SI",ROUND(IFERROR(VALUE($E143),0)+$I143,4),ROUND(IFERROR(VALUE($E143),0),4)))</f>
        <v/>
      </c>
      <c r="K143" s="21">
        <f>IF($A143="","",IF(IFERROR(VALUE($D143),0)&lt;&gt;1,"Non attiva",IF(IFERROR(VALUE($E143),0)&lt;Parametri!$B$2,"Sotto soglia","")))</f>
        <v/>
      </c>
      <c r="L143" s="21">
        <f>IF($A143="","",$A143&amp;"|"&amp;$C143)</f>
        <v/>
      </c>
      <c r="M143" s="21">
        <f>IF($A143="","",$C143&amp;"|"&amp;TEXT($J143,"0.0000"))</f>
        <v/>
      </c>
    </row>
    <row r="144">
      <c r="A144" s="20" t="n"/>
      <c r="B144" s="20" t="n"/>
      <c r="C144" s="20" t="n"/>
      <c r="D144" s="20" t="n"/>
      <c r="E144" s="20" t="n"/>
      <c r="F144" s="20" t="n"/>
      <c r="G144" s="21">
        <f>IF($A144="","",IF(IFERROR(VALUE($D144),0)&lt;&gt;1,"NO",IF(IFERROR(VALUE($E144),0)&gt;=Parametri!$B$2,"SI","NO")))</f>
        <v/>
      </c>
      <c r="H144" s="21">
        <f>IF($G144="SI",SUMPRODUCT(MAX(($C$2:$C$200=$C144)*(IFERROR($D$2:$D$200*1,0)=1)*(IFERROR($E$2:$E$200*1,0)&gt;=Parametri!$B$2)*IFERROR($F$2:$F$200*1,0))),0)</f>
        <v/>
      </c>
      <c r="I144" s="21">
        <f>IF($G144="SI",IF($H144&gt;0,30*(IFERROR(VALUE($F144),0)/$H144),0),0)</f>
        <v/>
      </c>
      <c r="J144" s="21">
        <f>IF($A144="",0,IF($G144="SI",ROUND(IFERROR(VALUE($E144),0)+$I144,4),ROUND(IFERROR(VALUE($E144),0),4)))</f>
        <v/>
      </c>
      <c r="K144" s="21">
        <f>IF($A144="","",IF(IFERROR(VALUE($D144),0)&lt;&gt;1,"Non attiva",IF(IFERROR(VALUE($E144),0)&lt;Parametri!$B$2,"Sotto soglia","")))</f>
        <v/>
      </c>
      <c r="L144" s="21">
        <f>IF($A144="","",$A144&amp;"|"&amp;$C144)</f>
        <v/>
      </c>
      <c r="M144" s="21">
        <f>IF($A144="","",$C144&amp;"|"&amp;TEXT($J144,"0.0000"))</f>
        <v/>
      </c>
    </row>
    <row r="145">
      <c r="A145" s="20" t="n"/>
      <c r="B145" s="20" t="n"/>
      <c r="C145" s="20" t="n"/>
      <c r="D145" s="20" t="n"/>
      <c r="E145" s="20" t="n"/>
      <c r="F145" s="20" t="n"/>
      <c r="G145" s="21">
        <f>IF($A145="","",IF(IFERROR(VALUE($D145),0)&lt;&gt;1,"NO",IF(IFERROR(VALUE($E145),0)&gt;=Parametri!$B$2,"SI","NO")))</f>
        <v/>
      </c>
      <c r="H145" s="21">
        <f>IF($G145="SI",SUMPRODUCT(MAX(($C$2:$C$200=$C145)*(IFERROR($D$2:$D$200*1,0)=1)*(IFERROR($E$2:$E$200*1,0)&gt;=Parametri!$B$2)*IFERROR($F$2:$F$200*1,0))),0)</f>
        <v/>
      </c>
      <c r="I145" s="21">
        <f>IF($G145="SI",IF($H145&gt;0,30*(IFERROR(VALUE($F145),0)/$H145),0),0)</f>
        <v/>
      </c>
      <c r="J145" s="21">
        <f>IF($A145="",0,IF($G145="SI",ROUND(IFERROR(VALUE($E145),0)+$I145,4),ROUND(IFERROR(VALUE($E145),0),4)))</f>
        <v/>
      </c>
      <c r="K145" s="21">
        <f>IF($A145="","",IF(IFERROR(VALUE($D145),0)&lt;&gt;1,"Non attiva",IF(IFERROR(VALUE($E145),0)&lt;Parametri!$B$2,"Sotto soglia","")))</f>
        <v/>
      </c>
      <c r="L145" s="21">
        <f>IF($A145="","",$A145&amp;"|"&amp;$C145)</f>
        <v/>
      </c>
      <c r="M145" s="21">
        <f>IF($A145="","",$C145&amp;"|"&amp;TEXT($J145,"0.0000"))</f>
        <v/>
      </c>
    </row>
    <row r="146">
      <c r="A146" s="20" t="n"/>
      <c r="B146" s="20" t="n"/>
      <c r="C146" s="20" t="n"/>
      <c r="D146" s="20" t="n"/>
      <c r="E146" s="20" t="n"/>
      <c r="F146" s="20" t="n"/>
      <c r="G146" s="21">
        <f>IF($A146="","",IF(IFERROR(VALUE($D146),0)&lt;&gt;1,"NO",IF(IFERROR(VALUE($E146),0)&gt;=Parametri!$B$2,"SI","NO")))</f>
        <v/>
      </c>
      <c r="H146" s="21">
        <f>IF($G146="SI",SUMPRODUCT(MAX(($C$2:$C$200=$C146)*(IFERROR($D$2:$D$200*1,0)=1)*(IFERROR($E$2:$E$200*1,0)&gt;=Parametri!$B$2)*IFERROR($F$2:$F$200*1,0))),0)</f>
        <v/>
      </c>
      <c r="I146" s="21">
        <f>IF($G146="SI",IF($H146&gt;0,30*(IFERROR(VALUE($F146),0)/$H146),0),0)</f>
        <v/>
      </c>
      <c r="J146" s="21">
        <f>IF($A146="",0,IF($G146="SI",ROUND(IFERROR(VALUE($E146),0)+$I146,4),ROUND(IFERROR(VALUE($E146),0),4)))</f>
        <v/>
      </c>
      <c r="K146" s="21">
        <f>IF($A146="","",IF(IFERROR(VALUE($D146),0)&lt;&gt;1,"Non attiva",IF(IFERROR(VALUE($E146),0)&lt;Parametri!$B$2,"Sotto soglia","")))</f>
        <v/>
      </c>
      <c r="L146" s="21">
        <f>IF($A146="","",$A146&amp;"|"&amp;$C146)</f>
        <v/>
      </c>
      <c r="M146" s="21">
        <f>IF($A146="","",$C146&amp;"|"&amp;TEXT($J146,"0.0000"))</f>
        <v/>
      </c>
    </row>
    <row r="147">
      <c r="A147" s="20" t="n"/>
      <c r="B147" s="20" t="n"/>
      <c r="C147" s="20" t="n"/>
      <c r="D147" s="20" t="n"/>
      <c r="E147" s="20" t="n"/>
      <c r="F147" s="20" t="n"/>
      <c r="G147" s="21">
        <f>IF($A147="","",IF(IFERROR(VALUE($D147),0)&lt;&gt;1,"NO",IF(IFERROR(VALUE($E147),0)&gt;=Parametri!$B$2,"SI","NO")))</f>
        <v/>
      </c>
      <c r="H147" s="21">
        <f>IF($G147="SI",SUMPRODUCT(MAX(($C$2:$C$200=$C147)*(IFERROR($D$2:$D$200*1,0)=1)*(IFERROR($E$2:$E$200*1,0)&gt;=Parametri!$B$2)*IFERROR($F$2:$F$200*1,0))),0)</f>
        <v/>
      </c>
      <c r="I147" s="21">
        <f>IF($G147="SI",IF($H147&gt;0,30*(IFERROR(VALUE($F147),0)/$H147),0),0)</f>
        <v/>
      </c>
      <c r="J147" s="21">
        <f>IF($A147="",0,IF($G147="SI",ROUND(IFERROR(VALUE($E147),0)+$I147,4),ROUND(IFERROR(VALUE($E147),0),4)))</f>
        <v/>
      </c>
      <c r="K147" s="21">
        <f>IF($A147="","",IF(IFERROR(VALUE($D147),0)&lt;&gt;1,"Non attiva",IF(IFERROR(VALUE($E147),0)&lt;Parametri!$B$2,"Sotto soglia","")))</f>
        <v/>
      </c>
      <c r="L147" s="21">
        <f>IF($A147="","",$A147&amp;"|"&amp;$C147)</f>
        <v/>
      </c>
      <c r="M147" s="21">
        <f>IF($A147="","",$C147&amp;"|"&amp;TEXT($J147,"0.0000"))</f>
        <v/>
      </c>
    </row>
    <row r="148">
      <c r="A148" s="20" t="n"/>
      <c r="B148" s="20" t="n"/>
      <c r="C148" s="20" t="n"/>
      <c r="D148" s="20" t="n"/>
      <c r="E148" s="20" t="n"/>
      <c r="F148" s="20" t="n"/>
      <c r="G148" s="21">
        <f>IF($A148="","",IF(IFERROR(VALUE($D148),0)&lt;&gt;1,"NO",IF(IFERROR(VALUE($E148),0)&gt;=Parametri!$B$2,"SI","NO")))</f>
        <v/>
      </c>
      <c r="H148" s="21">
        <f>IF($G148="SI",SUMPRODUCT(MAX(($C$2:$C$200=$C148)*(IFERROR($D$2:$D$200*1,0)=1)*(IFERROR($E$2:$E$200*1,0)&gt;=Parametri!$B$2)*IFERROR($F$2:$F$200*1,0))),0)</f>
        <v/>
      </c>
      <c r="I148" s="21">
        <f>IF($G148="SI",IF($H148&gt;0,30*(IFERROR(VALUE($F148),0)/$H148),0),0)</f>
        <v/>
      </c>
      <c r="J148" s="21">
        <f>IF($A148="",0,IF($G148="SI",ROUND(IFERROR(VALUE($E148),0)+$I148,4),ROUND(IFERROR(VALUE($E148),0),4)))</f>
        <v/>
      </c>
      <c r="K148" s="21">
        <f>IF($A148="","",IF(IFERROR(VALUE($D148),0)&lt;&gt;1,"Non attiva",IF(IFERROR(VALUE($E148),0)&lt;Parametri!$B$2,"Sotto soglia","")))</f>
        <v/>
      </c>
      <c r="L148" s="21">
        <f>IF($A148="","",$A148&amp;"|"&amp;$C148)</f>
        <v/>
      </c>
      <c r="M148" s="21">
        <f>IF($A148="","",$C148&amp;"|"&amp;TEXT($J148,"0.0000"))</f>
        <v/>
      </c>
    </row>
    <row r="149">
      <c r="A149" s="20" t="n"/>
      <c r="B149" s="20" t="n"/>
      <c r="C149" s="20" t="n"/>
      <c r="D149" s="20" t="n"/>
      <c r="E149" s="20" t="n"/>
      <c r="F149" s="20" t="n"/>
      <c r="G149" s="21">
        <f>IF($A149="","",IF(IFERROR(VALUE($D149),0)&lt;&gt;1,"NO",IF(IFERROR(VALUE($E149),0)&gt;=Parametri!$B$2,"SI","NO")))</f>
        <v/>
      </c>
      <c r="H149" s="21">
        <f>IF($G149="SI",SUMPRODUCT(MAX(($C$2:$C$200=$C149)*(IFERROR($D$2:$D$200*1,0)=1)*(IFERROR($E$2:$E$200*1,0)&gt;=Parametri!$B$2)*IFERROR($F$2:$F$200*1,0))),0)</f>
        <v/>
      </c>
      <c r="I149" s="21">
        <f>IF($G149="SI",IF($H149&gt;0,30*(IFERROR(VALUE($F149),0)/$H149),0),0)</f>
        <v/>
      </c>
      <c r="J149" s="21">
        <f>IF($A149="",0,IF($G149="SI",ROUND(IFERROR(VALUE($E149),0)+$I149,4),ROUND(IFERROR(VALUE($E149),0),4)))</f>
        <v/>
      </c>
      <c r="K149" s="21">
        <f>IF($A149="","",IF(IFERROR(VALUE($D149),0)&lt;&gt;1,"Non attiva",IF(IFERROR(VALUE($E149),0)&lt;Parametri!$B$2,"Sotto soglia","")))</f>
        <v/>
      </c>
      <c r="L149" s="21">
        <f>IF($A149="","",$A149&amp;"|"&amp;$C149)</f>
        <v/>
      </c>
      <c r="M149" s="21">
        <f>IF($A149="","",$C149&amp;"|"&amp;TEXT($J149,"0.0000"))</f>
        <v/>
      </c>
    </row>
    <row r="150">
      <c r="A150" s="20" t="n"/>
      <c r="B150" s="20" t="n"/>
      <c r="C150" s="20" t="n"/>
      <c r="D150" s="20" t="n"/>
      <c r="E150" s="20" t="n"/>
      <c r="F150" s="20" t="n"/>
      <c r="G150" s="21">
        <f>IF($A150="","",IF(IFERROR(VALUE($D150),0)&lt;&gt;1,"NO",IF(IFERROR(VALUE($E150),0)&gt;=Parametri!$B$2,"SI","NO")))</f>
        <v/>
      </c>
      <c r="H150" s="21">
        <f>IF($G150="SI",SUMPRODUCT(MAX(($C$2:$C$200=$C150)*(IFERROR($D$2:$D$200*1,0)=1)*(IFERROR($E$2:$E$200*1,0)&gt;=Parametri!$B$2)*IFERROR($F$2:$F$200*1,0))),0)</f>
        <v/>
      </c>
      <c r="I150" s="21">
        <f>IF($G150="SI",IF($H150&gt;0,30*(IFERROR(VALUE($F150),0)/$H150),0),0)</f>
        <v/>
      </c>
      <c r="J150" s="21">
        <f>IF($A150="",0,IF($G150="SI",ROUND(IFERROR(VALUE($E150),0)+$I150,4),ROUND(IFERROR(VALUE($E150),0),4)))</f>
        <v/>
      </c>
      <c r="K150" s="21">
        <f>IF($A150="","",IF(IFERROR(VALUE($D150),0)&lt;&gt;1,"Non attiva",IF(IFERROR(VALUE($E150),0)&lt;Parametri!$B$2,"Sotto soglia","")))</f>
        <v/>
      </c>
      <c r="L150" s="21">
        <f>IF($A150="","",$A150&amp;"|"&amp;$C150)</f>
        <v/>
      </c>
      <c r="M150" s="21">
        <f>IF($A150="","",$C150&amp;"|"&amp;TEXT($J150,"0.0000"))</f>
        <v/>
      </c>
    </row>
    <row r="151">
      <c r="A151" s="20" t="n"/>
      <c r="B151" s="20" t="n"/>
      <c r="C151" s="20" t="n"/>
      <c r="D151" s="20" t="n"/>
      <c r="E151" s="20" t="n"/>
      <c r="F151" s="20" t="n"/>
      <c r="G151" s="21">
        <f>IF($A151="","",IF(IFERROR(VALUE($D151),0)&lt;&gt;1,"NO",IF(IFERROR(VALUE($E151),0)&gt;=Parametri!$B$2,"SI","NO")))</f>
        <v/>
      </c>
      <c r="H151" s="21">
        <f>IF($G151="SI",SUMPRODUCT(MAX(($C$2:$C$200=$C151)*(IFERROR($D$2:$D$200*1,0)=1)*(IFERROR($E$2:$E$200*1,0)&gt;=Parametri!$B$2)*IFERROR($F$2:$F$200*1,0))),0)</f>
        <v/>
      </c>
      <c r="I151" s="21">
        <f>IF($G151="SI",IF($H151&gt;0,30*(IFERROR(VALUE($F151),0)/$H151),0),0)</f>
        <v/>
      </c>
      <c r="J151" s="21">
        <f>IF($A151="",0,IF($G151="SI",ROUND(IFERROR(VALUE($E151),0)+$I151,4),ROUND(IFERROR(VALUE($E151),0),4)))</f>
        <v/>
      </c>
      <c r="K151" s="21">
        <f>IF($A151="","",IF(IFERROR(VALUE($D151),0)&lt;&gt;1,"Non attiva",IF(IFERROR(VALUE($E151),0)&lt;Parametri!$B$2,"Sotto soglia","")))</f>
        <v/>
      </c>
      <c r="L151" s="21">
        <f>IF($A151="","",$A151&amp;"|"&amp;$C151)</f>
        <v/>
      </c>
      <c r="M151" s="21">
        <f>IF($A151="","",$C151&amp;"|"&amp;TEXT($J151,"0.0000"))</f>
        <v/>
      </c>
    </row>
    <row r="152">
      <c r="A152" s="20" t="n"/>
      <c r="B152" s="20" t="n"/>
      <c r="C152" s="20" t="n"/>
      <c r="D152" s="20" t="n"/>
      <c r="E152" s="20" t="n"/>
      <c r="F152" s="20" t="n"/>
      <c r="G152" s="21">
        <f>IF($A152="","",IF(IFERROR(VALUE($D152),0)&lt;&gt;1,"NO",IF(IFERROR(VALUE($E152),0)&gt;=Parametri!$B$2,"SI","NO")))</f>
        <v/>
      </c>
      <c r="H152" s="21">
        <f>IF($G152="SI",SUMPRODUCT(MAX(($C$2:$C$200=$C152)*(IFERROR($D$2:$D$200*1,0)=1)*(IFERROR($E$2:$E$200*1,0)&gt;=Parametri!$B$2)*IFERROR($F$2:$F$200*1,0))),0)</f>
        <v/>
      </c>
      <c r="I152" s="21">
        <f>IF($G152="SI",IF($H152&gt;0,30*(IFERROR(VALUE($F152),0)/$H152),0),0)</f>
        <v/>
      </c>
      <c r="J152" s="21">
        <f>IF($A152="",0,IF($G152="SI",ROUND(IFERROR(VALUE($E152),0)+$I152,4),ROUND(IFERROR(VALUE($E152),0),4)))</f>
        <v/>
      </c>
      <c r="K152" s="21">
        <f>IF($A152="","",IF(IFERROR(VALUE($D152),0)&lt;&gt;1,"Non attiva",IF(IFERROR(VALUE($E152),0)&lt;Parametri!$B$2,"Sotto soglia","")))</f>
        <v/>
      </c>
      <c r="L152" s="21">
        <f>IF($A152="","",$A152&amp;"|"&amp;$C152)</f>
        <v/>
      </c>
      <c r="M152" s="21">
        <f>IF($A152="","",$C152&amp;"|"&amp;TEXT($J152,"0.0000"))</f>
        <v/>
      </c>
    </row>
    <row r="153">
      <c r="A153" s="20" t="n"/>
      <c r="B153" s="20" t="n"/>
      <c r="C153" s="20" t="n"/>
      <c r="D153" s="20" t="n"/>
      <c r="E153" s="20" t="n"/>
      <c r="F153" s="20" t="n"/>
      <c r="G153" s="21">
        <f>IF($A153="","",IF(IFERROR(VALUE($D153),0)&lt;&gt;1,"NO",IF(IFERROR(VALUE($E153),0)&gt;=Parametri!$B$2,"SI","NO")))</f>
        <v/>
      </c>
      <c r="H153" s="21">
        <f>IF($G153="SI",SUMPRODUCT(MAX(($C$2:$C$200=$C153)*(IFERROR($D$2:$D$200*1,0)=1)*(IFERROR($E$2:$E$200*1,0)&gt;=Parametri!$B$2)*IFERROR($F$2:$F$200*1,0))),0)</f>
        <v/>
      </c>
      <c r="I153" s="21">
        <f>IF($G153="SI",IF($H153&gt;0,30*(IFERROR(VALUE($F153),0)/$H153),0),0)</f>
        <v/>
      </c>
      <c r="J153" s="21">
        <f>IF($A153="",0,IF($G153="SI",ROUND(IFERROR(VALUE($E153),0)+$I153,4),ROUND(IFERROR(VALUE($E153),0),4)))</f>
        <v/>
      </c>
      <c r="K153" s="21">
        <f>IF($A153="","",IF(IFERROR(VALUE($D153),0)&lt;&gt;1,"Non attiva",IF(IFERROR(VALUE($E153),0)&lt;Parametri!$B$2,"Sotto soglia","")))</f>
        <v/>
      </c>
      <c r="L153" s="21">
        <f>IF($A153="","",$A153&amp;"|"&amp;$C153)</f>
        <v/>
      </c>
      <c r="M153" s="21">
        <f>IF($A153="","",$C153&amp;"|"&amp;TEXT($J153,"0.0000"))</f>
        <v/>
      </c>
    </row>
    <row r="154">
      <c r="A154" s="20" t="n"/>
      <c r="B154" s="20" t="n"/>
      <c r="C154" s="20" t="n"/>
      <c r="D154" s="20" t="n"/>
      <c r="E154" s="20" t="n"/>
      <c r="F154" s="20" t="n"/>
      <c r="G154" s="21">
        <f>IF($A154="","",IF(IFERROR(VALUE($D154),0)&lt;&gt;1,"NO",IF(IFERROR(VALUE($E154),0)&gt;=Parametri!$B$2,"SI","NO")))</f>
        <v/>
      </c>
      <c r="H154" s="21">
        <f>IF($G154="SI",SUMPRODUCT(MAX(($C$2:$C$200=$C154)*(IFERROR($D$2:$D$200*1,0)=1)*(IFERROR($E$2:$E$200*1,0)&gt;=Parametri!$B$2)*IFERROR($F$2:$F$200*1,0))),0)</f>
        <v/>
      </c>
      <c r="I154" s="21">
        <f>IF($G154="SI",IF($H154&gt;0,30*(IFERROR(VALUE($F154),0)/$H154),0),0)</f>
        <v/>
      </c>
      <c r="J154" s="21">
        <f>IF($A154="",0,IF($G154="SI",ROUND(IFERROR(VALUE($E154),0)+$I154,4),ROUND(IFERROR(VALUE($E154),0),4)))</f>
        <v/>
      </c>
      <c r="K154" s="21">
        <f>IF($A154="","",IF(IFERROR(VALUE($D154),0)&lt;&gt;1,"Non attiva",IF(IFERROR(VALUE($E154),0)&lt;Parametri!$B$2,"Sotto soglia","")))</f>
        <v/>
      </c>
      <c r="L154" s="21">
        <f>IF($A154="","",$A154&amp;"|"&amp;$C154)</f>
        <v/>
      </c>
      <c r="M154" s="21">
        <f>IF($A154="","",$C154&amp;"|"&amp;TEXT($J154,"0.0000"))</f>
        <v/>
      </c>
    </row>
    <row r="155">
      <c r="A155" s="20" t="n"/>
      <c r="B155" s="20" t="n"/>
      <c r="C155" s="20" t="n"/>
      <c r="D155" s="20" t="n"/>
      <c r="E155" s="20" t="n"/>
      <c r="F155" s="20" t="n"/>
      <c r="G155" s="21">
        <f>IF($A155="","",IF(IFERROR(VALUE($D155),0)&lt;&gt;1,"NO",IF(IFERROR(VALUE($E155),0)&gt;=Parametri!$B$2,"SI","NO")))</f>
        <v/>
      </c>
      <c r="H155" s="21">
        <f>IF($G155="SI",SUMPRODUCT(MAX(($C$2:$C$200=$C155)*(IFERROR($D$2:$D$200*1,0)=1)*(IFERROR($E$2:$E$200*1,0)&gt;=Parametri!$B$2)*IFERROR($F$2:$F$200*1,0))),0)</f>
        <v/>
      </c>
      <c r="I155" s="21">
        <f>IF($G155="SI",IF($H155&gt;0,30*(IFERROR(VALUE($F155),0)/$H155),0),0)</f>
        <v/>
      </c>
      <c r="J155" s="21">
        <f>IF($A155="",0,IF($G155="SI",ROUND(IFERROR(VALUE($E155),0)+$I155,4),ROUND(IFERROR(VALUE($E155),0),4)))</f>
        <v/>
      </c>
      <c r="K155" s="21">
        <f>IF($A155="","",IF(IFERROR(VALUE($D155),0)&lt;&gt;1,"Non attiva",IF(IFERROR(VALUE($E155),0)&lt;Parametri!$B$2,"Sotto soglia","")))</f>
        <v/>
      </c>
      <c r="L155" s="21">
        <f>IF($A155="","",$A155&amp;"|"&amp;$C155)</f>
        <v/>
      </c>
      <c r="M155" s="21">
        <f>IF($A155="","",$C155&amp;"|"&amp;TEXT($J155,"0.0000"))</f>
        <v/>
      </c>
    </row>
    <row r="156">
      <c r="A156" s="20" t="n"/>
      <c r="B156" s="20" t="n"/>
      <c r="C156" s="20" t="n"/>
      <c r="D156" s="20" t="n"/>
      <c r="E156" s="20" t="n"/>
      <c r="F156" s="20" t="n"/>
      <c r="G156" s="21">
        <f>IF($A156="","",IF(IFERROR(VALUE($D156),0)&lt;&gt;1,"NO",IF(IFERROR(VALUE($E156),0)&gt;=Parametri!$B$2,"SI","NO")))</f>
        <v/>
      </c>
      <c r="H156" s="21">
        <f>IF($G156="SI",SUMPRODUCT(MAX(($C$2:$C$200=$C156)*(IFERROR($D$2:$D$200*1,0)=1)*(IFERROR($E$2:$E$200*1,0)&gt;=Parametri!$B$2)*IFERROR($F$2:$F$200*1,0))),0)</f>
        <v/>
      </c>
      <c r="I156" s="21">
        <f>IF($G156="SI",IF($H156&gt;0,30*(IFERROR(VALUE($F156),0)/$H156),0),0)</f>
        <v/>
      </c>
      <c r="J156" s="21">
        <f>IF($A156="",0,IF($G156="SI",ROUND(IFERROR(VALUE($E156),0)+$I156,4),ROUND(IFERROR(VALUE($E156),0),4)))</f>
        <v/>
      </c>
      <c r="K156" s="21">
        <f>IF($A156="","",IF(IFERROR(VALUE($D156),0)&lt;&gt;1,"Non attiva",IF(IFERROR(VALUE($E156),0)&lt;Parametri!$B$2,"Sotto soglia","")))</f>
        <v/>
      </c>
      <c r="L156" s="21">
        <f>IF($A156="","",$A156&amp;"|"&amp;$C156)</f>
        <v/>
      </c>
      <c r="M156" s="21">
        <f>IF($A156="","",$C156&amp;"|"&amp;TEXT($J156,"0.0000"))</f>
        <v/>
      </c>
    </row>
    <row r="157">
      <c r="A157" s="20" t="n"/>
      <c r="B157" s="20" t="n"/>
      <c r="C157" s="20" t="n"/>
      <c r="D157" s="20" t="n"/>
      <c r="E157" s="20" t="n"/>
      <c r="F157" s="20" t="n"/>
      <c r="G157" s="21">
        <f>IF($A157="","",IF(IFERROR(VALUE($D157),0)&lt;&gt;1,"NO",IF(IFERROR(VALUE($E157),0)&gt;=Parametri!$B$2,"SI","NO")))</f>
        <v/>
      </c>
      <c r="H157" s="21">
        <f>IF($G157="SI",SUMPRODUCT(MAX(($C$2:$C$200=$C157)*(IFERROR($D$2:$D$200*1,0)=1)*(IFERROR($E$2:$E$200*1,0)&gt;=Parametri!$B$2)*IFERROR($F$2:$F$200*1,0))),0)</f>
        <v/>
      </c>
      <c r="I157" s="21">
        <f>IF($G157="SI",IF($H157&gt;0,30*(IFERROR(VALUE($F157),0)/$H157),0),0)</f>
        <v/>
      </c>
      <c r="J157" s="21">
        <f>IF($A157="",0,IF($G157="SI",ROUND(IFERROR(VALUE($E157),0)+$I157,4),ROUND(IFERROR(VALUE($E157),0),4)))</f>
        <v/>
      </c>
      <c r="K157" s="21">
        <f>IF($A157="","",IF(IFERROR(VALUE($D157),0)&lt;&gt;1,"Non attiva",IF(IFERROR(VALUE($E157),0)&lt;Parametri!$B$2,"Sotto soglia","")))</f>
        <v/>
      </c>
      <c r="L157" s="21">
        <f>IF($A157="","",$A157&amp;"|"&amp;$C157)</f>
        <v/>
      </c>
      <c r="M157" s="21">
        <f>IF($A157="","",$C157&amp;"|"&amp;TEXT($J157,"0.0000"))</f>
        <v/>
      </c>
    </row>
    <row r="158">
      <c r="A158" s="20" t="n"/>
      <c r="B158" s="20" t="n"/>
      <c r="C158" s="20" t="n"/>
      <c r="D158" s="20" t="n"/>
      <c r="E158" s="20" t="n"/>
      <c r="F158" s="20" t="n"/>
      <c r="G158" s="21">
        <f>IF($A158="","",IF(IFERROR(VALUE($D158),0)&lt;&gt;1,"NO",IF(IFERROR(VALUE($E158),0)&gt;=Parametri!$B$2,"SI","NO")))</f>
        <v/>
      </c>
      <c r="H158" s="21">
        <f>IF($G158="SI",SUMPRODUCT(MAX(($C$2:$C$200=$C158)*(IFERROR($D$2:$D$200*1,0)=1)*(IFERROR($E$2:$E$200*1,0)&gt;=Parametri!$B$2)*IFERROR($F$2:$F$200*1,0))),0)</f>
        <v/>
      </c>
      <c r="I158" s="21">
        <f>IF($G158="SI",IF($H158&gt;0,30*(IFERROR(VALUE($F158),0)/$H158),0),0)</f>
        <v/>
      </c>
      <c r="J158" s="21">
        <f>IF($A158="",0,IF($G158="SI",ROUND(IFERROR(VALUE($E158),0)+$I158,4),ROUND(IFERROR(VALUE($E158),0),4)))</f>
        <v/>
      </c>
      <c r="K158" s="21">
        <f>IF($A158="","",IF(IFERROR(VALUE($D158),0)&lt;&gt;1,"Non attiva",IF(IFERROR(VALUE($E158),0)&lt;Parametri!$B$2,"Sotto soglia","")))</f>
        <v/>
      </c>
      <c r="L158" s="21">
        <f>IF($A158="","",$A158&amp;"|"&amp;$C158)</f>
        <v/>
      </c>
      <c r="M158" s="21">
        <f>IF($A158="","",$C158&amp;"|"&amp;TEXT($J158,"0.0000"))</f>
        <v/>
      </c>
    </row>
    <row r="159">
      <c r="A159" s="20" t="n"/>
      <c r="B159" s="20" t="n"/>
      <c r="C159" s="20" t="n"/>
      <c r="D159" s="20" t="n"/>
      <c r="E159" s="20" t="n"/>
      <c r="F159" s="20" t="n"/>
      <c r="G159" s="21">
        <f>IF($A159="","",IF(IFERROR(VALUE($D159),0)&lt;&gt;1,"NO",IF(IFERROR(VALUE($E159),0)&gt;=Parametri!$B$2,"SI","NO")))</f>
        <v/>
      </c>
      <c r="H159" s="21">
        <f>IF($G159="SI",SUMPRODUCT(MAX(($C$2:$C$200=$C159)*(IFERROR($D$2:$D$200*1,0)=1)*(IFERROR($E$2:$E$200*1,0)&gt;=Parametri!$B$2)*IFERROR($F$2:$F$200*1,0))),0)</f>
        <v/>
      </c>
      <c r="I159" s="21">
        <f>IF($G159="SI",IF($H159&gt;0,30*(IFERROR(VALUE($F159),0)/$H159),0),0)</f>
        <v/>
      </c>
      <c r="J159" s="21">
        <f>IF($A159="",0,IF($G159="SI",ROUND(IFERROR(VALUE($E159),0)+$I159,4),ROUND(IFERROR(VALUE($E159),0),4)))</f>
        <v/>
      </c>
      <c r="K159" s="21">
        <f>IF($A159="","",IF(IFERROR(VALUE($D159),0)&lt;&gt;1,"Non attiva",IF(IFERROR(VALUE($E159),0)&lt;Parametri!$B$2,"Sotto soglia","")))</f>
        <v/>
      </c>
      <c r="L159" s="21">
        <f>IF($A159="","",$A159&amp;"|"&amp;$C159)</f>
        <v/>
      </c>
      <c r="M159" s="21">
        <f>IF($A159="","",$C159&amp;"|"&amp;TEXT($J159,"0.0000"))</f>
        <v/>
      </c>
    </row>
    <row r="160">
      <c r="A160" s="20" t="n"/>
      <c r="B160" s="20" t="n"/>
      <c r="C160" s="20" t="n"/>
      <c r="D160" s="20" t="n"/>
      <c r="E160" s="20" t="n"/>
      <c r="F160" s="20" t="n"/>
      <c r="G160" s="21">
        <f>IF($A160="","",IF(IFERROR(VALUE($D160),0)&lt;&gt;1,"NO",IF(IFERROR(VALUE($E160),0)&gt;=Parametri!$B$2,"SI","NO")))</f>
        <v/>
      </c>
      <c r="H160" s="21">
        <f>IF($G160="SI",SUMPRODUCT(MAX(($C$2:$C$200=$C160)*(IFERROR($D$2:$D$200*1,0)=1)*(IFERROR($E$2:$E$200*1,0)&gt;=Parametri!$B$2)*IFERROR($F$2:$F$200*1,0))),0)</f>
        <v/>
      </c>
      <c r="I160" s="21">
        <f>IF($G160="SI",IF($H160&gt;0,30*(IFERROR(VALUE($F160),0)/$H160),0),0)</f>
        <v/>
      </c>
      <c r="J160" s="21">
        <f>IF($A160="",0,IF($G160="SI",ROUND(IFERROR(VALUE($E160),0)+$I160,4),ROUND(IFERROR(VALUE($E160),0),4)))</f>
        <v/>
      </c>
      <c r="K160" s="21">
        <f>IF($A160="","",IF(IFERROR(VALUE($D160),0)&lt;&gt;1,"Non attiva",IF(IFERROR(VALUE($E160),0)&lt;Parametri!$B$2,"Sotto soglia","")))</f>
        <v/>
      </c>
      <c r="L160" s="21">
        <f>IF($A160="","",$A160&amp;"|"&amp;$C160)</f>
        <v/>
      </c>
      <c r="M160" s="21">
        <f>IF($A160="","",$C160&amp;"|"&amp;TEXT($J160,"0.0000"))</f>
        <v/>
      </c>
    </row>
    <row r="161">
      <c r="A161" s="20" t="n"/>
      <c r="B161" s="20" t="n"/>
      <c r="C161" s="20" t="n"/>
      <c r="D161" s="20" t="n"/>
      <c r="E161" s="20" t="n"/>
      <c r="F161" s="20" t="n"/>
      <c r="G161" s="21">
        <f>IF($A161="","",IF(IFERROR(VALUE($D161),0)&lt;&gt;1,"NO",IF(IFERROR(VALUE($E161),0)&gt;=Parametri!$B$2,"SI","NO")))</f>
        <v/>
      </c>
      <c r="H161" s="21">
        <f>IF($G161="SI",SUMPRODUCT(MAX(($C$2:$C$200=$C161)*(IFERROR($D$2:$D$200*1,0)=1)*(IFERROR($E$2:$E$200*1,0)&gt;=Parametri!$B$2)*IFERROR($F$2:$F$200*1,0))),0)</f>
        <v/>
      </c>
      <c r="I161" s="21">
        <f>IF($G161="SI",IF($H161&gt;0,30*(IFERROR(VALUE($F161),0)/$H161),0),0)</f>
        <v/>
      </c>
      <c r="J161" s="21">
        <f>IF($A161="",0,IF($G161="SI",ROUND(IFERROR(VALUE($E161),0)+$I161,4),ROUND(IFERROR(VALUE($E161),0),4)))</f>
        <v/>
      </c>
      <c r="K161" s="21">
        <f>IF($A161="","",IF(IFERROR(VALUE($D161),0)&lt;&gt;1,"Non attiva",IF(IFERROR(VALUE($E161),0)&lt;Parametri!$B$2,"Sotto soglia","")))</f>
        <v/>
      </c>
      <c r="L161" s="21">
        <f>IF($A161="","",$A161&amp;"|"&amp;$C161)</f>
        <v/>
      </c>
      <c r="M161" s="21">
        <f>IF($A161="","",$C161&amp;"|"&amp;TEXT($J161,"0.0000"))</f>
        <v/>
      </c>
    </row>
    <row r="162">
      <c r="A162" s="20" t="n"/>
      <c r="B162" s="20" t="n"/>
      <c r="C162" s="20" t="n"/>
      <c r="D162" s="20" t="n"/>
      <c r="E162" s="20" t="n"/>
      <c r="F162" s="20" t="n"/>
      <c r="G162" s="21">
        <f>IF($A162="","",IF(IFERROR(VALUE($D162),0)&lt;&gt;1,"NO",IF(IFERROR(VALUE($E162),0)&gt;=Parametri!$B$2,"SI","NO")))</f>
        <v/>
      </c>
      <c r="H162" s="21">
        <f>IF($G162="SI",SUMPRODUCT(MAX(($C$2:$C$200=$C162)*(IFERROR($D$2:$D$200*1,0)=1)*(IFERROR($E$2:$E$200*1,0)&gt;=Parametri!$B$2)*IFERROR($F$2:$F$200*1,0))),0)</f>
        <v/>
      </c>
      <c r="I162" s="21">
        <f>IF($G162="SI",IF($H162&gt;0,30*(IFERROR(VALUE($F162),0)/$H162),0),0)</f>
        <v/>
      </c>
      <c r="J162" s="21">
        <f>IF($A162="",0,IF($G162="SI",ROUND(IFERROR(VALUE($E162),0)+$I162,4),ROUND(IFERROR(VALUE($E162),0),4)))</f>
        <v/>
      </c>
      <c r="K162" s="21">
        <f>IF($A162="","",IF(IFERROR(VALUE($D162),0)&lt;&gt;1,"Non attiva",IF(IFERROR(VALUE($E162),0)&lt;Parametri!$B$2,"Sotto soglia","")))</f>
        <v/>
      </c>
      <c r="L162" s="21">
        <f>IF($A162="","",$A162&amp;"|"&amp;$C162)</f>
        <v/>
      </c>
      <c r="M162" s="21">
        <f>IF($A162="","",$C162&amp;"|"&amp;TEXT($J162,"0.0000"))</f>
        <v/>
      </c>
    </row>
    <row r="163">
      <c r="A163" s="20" t="n"/>
      <c r="B163" s="20" t="n"/>
      <c r="C163" s="20" t="n"/>
      <c r="D163" s="20" t="n"/>
      <c r="E163" s="20" t="n"/>
      <c r="F163" s="20" t="n"/>
      <c r="G163" s="21">
        <f>IF($A163="","",IF(IFERROR(VALUE($D163),0)&lt;&gt;1,"NO",IF(IFERROR(VALUE($E163),0)&gt;=Parametri!$B$2,"SI","NO")))</f>
        <v/>
      </c>
      <c r="H163" s="21">
        <f>IF($G163="SI",SUMPRODUCT(MAX(($C$2:$C$200=$C163)*(IFERROR($D$2:$D$200*1,0)=1)*(IFERROR($E$2:$E$200*1,0)&gt;=Parametri!$B$2)*IFERROR($F$2:$F$200*1,0))),0)</f>
        <v/>
      </c>
      <c r="I163" s="21">
        <f>IF($G163="SI",IF($H163&gt;0,30*(IFERROR(VALUE($F163),0)/$H163),0),0)</f>
        <v/>
      </c>
      <c r="J163" s="21">
        <f>IF($A163="",0,IF($G163="SI",ROUND(IFERROR(VALUE($E163),0)+$I163,4),ROUND(IFERROR(VALUE($E163),0),4)))</f>
        <v/>
      </c>
      <c r="K163" s="21">
        <f>IF($A163="","",IF(IFERROR(VALUE($D163),0)&lt;&gt;1,"Non attiva",IF(IFERROR(VALUE($E163),0)&lt;Parametri!$B$2,"Sotto soglia","")))</f>
        <v/>
      </c>
      <c r="L163" s="21">
        <f>IF($A163="","",$A163&amp;"|"&amp;$C163)</f>
        <v/>
      </c>
      <c r="M163" s="21">
        <f>IF($A163="","",$C163&amp;"|"&amp;TEXT($J163,"0.0000"))</f>
        <v/>
      </c>
    </row>
    <row r="164">
      <c r="A164" s="20" t="n"/>
      <c r="B164" s="20" t="n"/>
      <c r="C164" s="20" t="n"/>
      <c r="D164" s="20" t="n"/>
      <c r="E164" s="20" t="n"/>
      <c r="F164" s="20" t="n"/>
      <c r="G164" s="21">
        <f>IF($A164="","",IF(IFERROR(VALUE($D164),0)&lt;&gt;1,"NO",IF(IFERROR(VALUE($E164),0)&gt;=Parametri!$B$2,"SI","NO")))</f>
        <v/>
      </c>
      <c r="H164" s="21">
        <f>IF($G164="SI",SUMPRODUCT(MAX(($C$2:$C$200=$C164)*(IFERROR($D$2:$D$200*1,0)=1)*(IFERROR($E$2:$E$200*1,0)&gt;=Parametri!$B$2)*IFERROR($F$2:$F$200*1,0))),0)</f>
        <v/>
      </c>
      <c r="I164" s="21">
        <f>IF($G164="SI",IF($H164&gt;0,30*(IFERROR(VALUE($F164),0)/$H164),0),0)</f>
        <v/>
      </c>
      <c r="J164" s="21">
        <f>IF($A164="",0,IF($G164="SI",ROUND(IFERROR(VALUE($E164),0)+$I164,4),ROUND(IFERROR(VALUE($E164),0),4)))</f>
        <v/>
      </c>
      <c r="K164" s="21">
        <f>IF($A164="","",IF(IFERROR(VALUE($D164),0)&lt;&gt;1,"Non attiva",IF(IFERROR(VALUE($E164),0)&lt;Parametri!$B$2,"Sotto soglia","")))</f>
        <v/>
      </c>
      <c r="L164" s="21">
        <f>IF($A164="","",$A164&amp;"|"&amp;$C164)</f>
        <v/>
      </c>
      <c r="M164" s="21">
        <f>IF($A164="","",$C164&amp;"|"&amp;TEXT($J164,"0.0000"))</f>
        <v/>
      </c>
    </row>
    <row r="165">
      <c r="A165" s="20" t="n"/>
      <c r="B165" s="20" t="n"/>
      <c r="C165" s="20" t="n"/>
      <c r="D165" s="20" t="n"/>
      <c r="E165" s="20" t="n"/>
      <c r="F165" s="20" t="n"/>
      <c r="G165" s="21">
        <f>IF($A165="","",IF(IFERROR(VALUE($D165),0)&lt;&gt;1,"NO",IF(IFERROR(VALUE($E165),0)&gt;=Parametri!$B$2,"SI","NO")))</f>
        <v/>
      </c>
      <c r="H165" s="21">
        <f>IF($G165="SI",SUMPRODUCT(MAX(($C$2:$C$200=$C165)*(IFERROR($D$2:$D$200*1,0)=1)*(IFERROR($E$2:$E$200*1,0)&gt;=Parametri!$B$2)*IFERROR($F$2:$F$200*1,0))),0)</f>
        <v/>
      </c>
      <c r="I165" s="21">
        <f>IF($G165="SI",IF($H165&gt;0,30*(IFERROR(VALUE($F165),0)/$H165),0),0)</f>
        <v/>
      </c>
      <c r="J165" s="21">
        <f>IF($A165="",0,IF($G165="SI",ROUND(IFERROR(VALUE($E165),0)+$I165,4),ROUND(IFERROR(VALUE($E165),0),4)))</f>
        <v/>
      </c>
      <c r="K165" s="21">
        <f>IF($A165="","",IF(IFERROR(VALUE($D165),0)&lt;&gt;1,"Non attiva",IF(IFERROR(VALUE($E165),0)&lt;Parametri!$B$2,"Sotto soglia","")))</f>
        <v/>
      </c>
      <c r="L165" s="21">
        <f>IF($A165="","",$A165&amp;"|"&amp;$C165)</f>
        <v/>
      </c>
      <c r="M165" s="21">
        <f>IF($A165="","",$C165&amp;"|"&amp;TEXT($J165,"0.0000"))</f>
        <v/>
      </c>
    </row>
    <row r="166">
      <c r="A166" s="20" t="n"/>
      <c r="B166" s="20" t="n"/>
      <c r="C166" s="20" t="n"/>
      <c r="D166" s="20" t="n"/>
      <c r="E166" s="20" t="n"/>
      <c r="F166" s="20" t="n"/>
      <c r="G166" s="21">
        <f>IF($A166="","",IF(IFERROR(VALUE($D166),0)&lt;&gt;1,"NO",IF(IFERROR(VALUE($E166),0)&gt;=Parametri!$B$2,"SI","NO")))</f>
        <v/>
      </c>
      <c r="H166" s="21">
        <f>IF($G166="SI",SUMPRODUCT(MAX(($C$2:$C$200=$C166)*(IFERROR($D$2:$D$200*1,0)=1)*(IFERROR($E$2:$E$200*1,0)&gt;=Parametri!$B$2)*IFERROR($F$2:$F$200*1,0))),0)</f>
        <v/>
      </c>
      <c r="I166" s="21">
        <f>IF($G166="SI",IF($H166&gt;0,30*(IFERROR(VALUE($F166),0)/$H166),0),0)</f>
        <v/>
      </c>
      <c r="J166" s="21">
        <f>IF($A166="",0,IF($G166="SI",ROUND(IFERROR(VALUE($E166),0)+$I166,4),ROUND(IFERROR(VALUE($E166),0),4)))</f>
        <v/>
      </c>
      <c r="K166" s="21">
        <f>IF($A166="","",IF(IFERROR(VALUE($D166),0)&lt;&gt;1,"Non attiva",IF(IFERROR(VALUE($E166),0)&lt;Parametri!$B$2,"Sotto soglia","")))</f>
        <v/>
      </c>
      <c r="L166" s="21">
        <f>IF($A166="","",$A166&amp;"|"&amp;$C166)</f>
        <v/>
      </c>
      <c r="M166" s="21">
        <f>IF($A166="","",$C166&amp;"|"&amp;TEXT($J166,"0.0000"))</f>
        <v/>
      </c>
    </row>
    <row r="167">
      <c r="A167" s="20" t="n"/>
      <c r="B167" s="20" t="n"/>
      <c r="C167" s="20" t="n"/>
      <c r="D167" s="20" t="n"/>
      <c r="E167" s="20" t="n"/>
      <c r="F167" s="20" t="n"/>
      <c r="G167" s="21">
        <f>IF($A167="","",IF(IFERROR(VALUE($D167),0)&lt;&gt;1,"NO",IF(IFERROR(VALUE($E167),0)&gt;=Parametri!$B$2,"SI","NO")))</f>
        <v/>
      </c>
      <c r="H167" s="21">
        <f>IF($G167="SI",SUMPRODUCT(MAX(($C$2:$C$200=$C167)*(IFERROR($D$2:$D$200*1,0)=1)*(IFERROR($E$2:$E$200*1,0)&gt;=Parametri!$B$2)*IFERROR($F$2:$F$200*1,0))),0)</f>
        <v/>
      </c>
      <c r="I167" s="21">
        <f>IF($G167="SI",IF($H167&gt;0,30*(IFERROR(VALUE($F167),0)/$H167),0),0)</f>
        <v/>
      </c>
      <c r="J167" s="21">
        <f>IF($A167="",0,IF($G167="SI",ROUND(IFERROR(VALUE($E167),0)+$I167,4),ROUND(IFERROR(VALUE($E167),0),4)))</f>
        <v/>
      </c>
      <c r="K167" s="21">
        <f>IF($A167="","",IF(IFERROR(VALUE($D167),0)&lt;&gt;1,"Non attiva",IF(IFERROR(VALUE($E167),0)&lt;Parametri!$B$2,"Sotto soglia","")))</f>
        <v/>
      </c>
      <c r="L167" s="21">
        <f>IF($A167="","",$A167&amp;"|"&amp;$C167)</f>
        <v/>
      </c>
      <c r="M167" s="21">
        <f>IF($A167="","",$C167&amp;"|"&amp;TEXT($J167,"0.0000"))</f>
        <v/>
      </c>
    </row>
    <row r="168">
      <c r="A168" s="20" t="n"/>
      <c r="B168" s="20" t="n"/>
      <c r="C168" s="20" t="n"/>
      <c r="D168" s="20" t="n"/>
      <c r="E168" s="20" t="n"/>
      <c r="F168" s="20" t="n"/>
      <c r="G168" s="21">
        <f>IF($A168="","",IF(IFERROR(VALUE($D168),0)&lt;&gt;1,"NO",IF(IFERROR(VALUE($E168),0)&gt;=Parametri!$B$2,"SI","NO")))</f>
        <v/>
      </c>
      <c r="H168" s="21">
        <f>IF($G168="SI",SUMPRODUCT(MAX(($C$2:$C$200=$C168)*(IFERROR($D$2:$D$200*1,0)=1)*(IFERROR($E$2:$E$200*1,0)&gt;=Parametri!$B$2)*IFERROR($F$2:$F$200*1,0))),0)</f>
        <v/>
      </c>
      <c r="I168" s="21">
        <f>IF($G168="SI",IF($H168&gt;0,30*(IFERROR(VALUE($F168),0)/$H168),0),0)</f>
        <v/>
      </c>
      <c r="J168" s="21">
        <f>IF($A168="",0,IF($G168="SI",ROUND(IFERROR(VALUE($E168),0)+$I168,4),ROUND(IFERROR(VALUE($E168),0),4)))</f>
        <v/>
      </c>
      <c r="K168" s="21">
        <f>IF($A168="","",IF(IFERROR(VALUE($D168),0)&lt;&gt;1,"Non attiva",IF(IFERROR(VALUE($E168),0)&lt;Parametri!$B$2,"Sotto soglia","")))</f>
        <v/>
      </c>
      <c r="L168" s="21">
        <f>IF($A168="","",$A168&amp;"|"&amp;$C168)</f>
        <v/>
      </c>
      <c r="M168" s="21">
        <f>IF($A168="","",$C168&amp;"|"&amp;TEXT($J168,"0.0000"))</f>
        <v/>
      </c>
    </row>
    <row r="169">
      <c r="A169" s="20" t="n"/>
      <c r="B169" s="20" t="n"/>
      <c r="C169" s="20" t="n"/>
      <c r="D169" s="20" t="n"/>
      <c r="E169" s="20" t="n"/>
      <c r="F169" s="20" t="n"/>
      <c r="G169" s="21">
        <f>IF($A169="","",IF(IFERROR(VALUE($D169),0)&lt;&gt;1,"NO",IF(IFERROR(VALUE($E169),0)&gt;=Parametri!$B$2,"SI","NO")))</f>
        <v/>
      </c>
      <c r="H169" s="21">
        <f>IF($G169="SI",SUMPRODUCT(MAX(($C$2:$C$200=$C169)*(IFERROR($D$2:$D$200*1,0)=1)*(IFERROR($E$2:$E$200*1,0)&gt;=Parametri!$B$2)*IFERROR($F$2:$F$200*1,0))),0)</f>
        <v/>
      </c>
      <c r="I169" s="21">
        <f>IF($G169="SI",IF($H169&gt;0,30*(IFERROR(VALUE($F169),0)/$H169),0),0)</f>
        <v/>
      </c>
      <c r="J169" s="21">
        <f>IF($A169="",0,IF($G169="SI",ROUND(IFERROR(VALUE($E169),0)+$I169,4),ROUND(IFERROR(VALUE($E169),0),4)))</f>
        <v/>
      </c>
      <c r="K169" s="21">
        <f>IF($A169="","",IF(IFERROR(VALUE($D169),0)&lt;&gt;1,"Non attiva",IF(IFERROR(VALUE($E169),0)&lt;Parametri!$B$2,"Sotto soglia","")))</f>
        <v/>
      </c>
      <c r="L169" s="21">
        <f>IF($A169="","",$A169&amp;"|"&amp;$C169)</f>
        <v/>
      </c>
      <c r="M169" s="21">
        <f>IF($A169="","",$C169&amp;"|"&amp;TEXT($J169,"0.0000"))</f>
        <v/>
      </c>
    </row>
    <row r="170">
      <c r="A170" s="20" t="n"/>
      <c r="B170" s="20" t="n"/>
      <c r="C170" s="20" t="n"/>
      <c r="D170" s="20" t="n"/>
      <c r="E170" s="20" t="n"/>
      <c r="F170" s="20" t="n"/>
      <c r="G170" s="21">
        <f>IF($A170="","",IF(IFERROR(VALUE($D170),0)&lt;&gt;1,"NO",IF(IFERROR(VALUE($E170),0)&gt;=Parametri!$B$2,"SI","NO")))</f>
        <v/>
      </c>
      <c r="H170" s="21">
        <f>IF($G170="SI",SUMPRODUCT(MAX(($C$2:$C$200=$C170)*(IFERROR($D$2:$D$200*1,0)=1)*(IFERROR($E$2:$E$200*1,0)&gt;=Parametri!$B$2)*IFERROR($F$2:$F$200*1,0))),0)</f>
        <v/>
      </c>
      <c r="I170" s="21">
        <f>IF($G170="SI",IF($H170&gt;0,30*(IFERROR(VALUE($F170),0)/$H170),0),0)</f>
        <v/>
      </c>
      <c r="J170" s="21">
        <f>IF($A170="",0,IF($G170="SI",ROUND(IFERROR(VALUE($E170),0)+$I170,4),ROUND(IFERROR(VALUE($E170),0),4)))</f>
        <v/>
      </c>
      <c r="K170" s="21">
        <f>IF($A170="","",IF(IFERROR(VALUE($D170),0)&lt;&gt;1,"Non attiva",IF(IFERROR(VALUE($E170),0)&lt;Parametri!$B$2,"Sotto soglia","")))</f>
        <v/>
      </c>
      <c r="L170" s="21">
        <f>IF($A170="","",$A170&amp;"|"&amp;$C170)</f>
        <v/>
      </c>
      <c r="M170" s="21">
        <f>IF($A170="","",$C170&amp;"|"&amp;TEXT($J170,"0.0000"))</f>
        <v/>
      </c>
    </row>
    <row r="171">
      <c r="A171" s="20" t="n"/>
      <c r="B171" s="20" t="n"/>
      <c r="C171" s="20" t="n"/>
      <c r="D171" s="20" t="n"/>
      <c r="E171" s="20" t="n"/>
      <c r="F171" s="20" t="n"/>
      <c r="G171" s="21">
        <f>IF($A171="","",IF(IFERROR(VALUE($D171),0)&lt;&gt;1,"NO",IF(IFERROR(VALUE($E171),0)&gt;=Parametri!$B$2,"SI","NO")))</f>
        <v/>
      </c>
      <c r="H171" s="21">
        <f>IF($G171="SI",SUMPRODUCT(MAX(($C$2:$C$200=$C171)*(IFERROR($D$2:$D$200*1,0)=1)*(IFERROR($E$2:$E$200*1,0)&gt;=Parametri!$B$2)*IFERROR($F$2:$F$200*1,0))),0)</f>
        <v/>
      </c>
      <c r="I171" s="21">
        <f>IF($G171="SI",IF($H171&gt;0,30*(IFERROR(VALUE($F171),0)/$H171),0),0)</f>
        <v/>
      </c>
      <c r="J171" s="21">
        <f>IF($A171="",0,IF($G171="SI",ROUND(IFERROR(VALUE($E171),0)+$I171,4),ROUND(IFERROR(VALUE($E171),0),4)))</f>
        <v/>
      </c>
      <c r="K171" s="21">
        <f>IF($A171="","",IF(IFERROR(VALUE($D171),0)&lt;&gt;1,"Non attiva",IF(IFERROR(VALUE($E171),0)&lt;Parametri!$B$2,"Sotto soglia","")))</f>
        <v/>
      </c>
      <c r="L171" s="21">
        <f>IF($A171="","",$A171&amp;"|"&amp;$C171)</f>
        <v/>
      </c>
      <c r="M171" s="21">
        <f>IF($A171="","",$C171&amp;"|"&amp;TEXT($J171,"0.0000"))</f>
        <v/>
      </c>
    </row>
    <row r="172">
      <c r="A172" s="20" t="n"/>
      <c r="B172" s="20" t="n"/>
      <c r="C172" s="20" t="n"/>
      <c r="D172" s="20" t="n"/>
      <c r="E172" s="20" t="n"/>
      <c r="F172" s="20" t="n"/>
      <c r="G172" s="21">
        <f>IF($A172="","",IF(IFERROR(VALUE($D172),0)&lt;&gt;1,"NO",IF(IFERROR(VALUE($E172),0)&gt;=Parametri!$B$2,"SI","NO")))</f>
        <v/>
      </c>
      <c r="H172" s="21">
        <f>IF($G172="SI",SUMPRODUCT(MAX(($C$2:$C$200=$C172)*(IFERROR($D$2:$D$200*1,0)=1)*(IFERROR($E$2:$E$200*1,0)&gt;=Parametri!$B$2)*IFERROR($F$2:$F$200*1,0))),0)</f>
        <v/>
      </c>
      <c r="I172" s="21">
        <f>IF($G172="SI",IF($H172&gt;0,30*(IFERROR(VALUE($F172),0)/$H172),0),0)</f>
        <v/>
      </c>
      <c r="J172" s="21">
        <f>IF($A172="",0,IF($G172="SI",ROUND(IFERROR(VALUE($E172),0)+$I172,4),ROUND(IFERROR(VALUE($E172),0),4)))</f>
        <v/>
      </c>
      <c r="K172" s="21">
        <f>IF($A172="","",IF(IFERROR(VALUE($D172),0)&lt;&gt;1,"Non attiva",IF(IFERROR(VALUE($E172),0)&lt;Parametri!$B$2,"Sotto soglia","")))</f>
        <v/>
      </c>
      <c r="L172" s="21">
        <f>IF($A172="","",$A172&amp;"|"&amp;$C172)</f>
        <v/>
      </c>
      <c r="M172" s="21">
        <f>IF($A172="","",$C172&amp;"|"&amp;TEXT($J172,"0.0000"))</f>
        <v/>
      </c>
    </row>
    <row r="173">
      <c r="A173" s="20" t="n"/>
      <c r="B173" s="20" t="n"/>
      <c r="C173" s="20" t="n"/>
      <c r="D173" s="20" t="n"/>
      <c r="E173" s="20" t="n"/>
      <c r="F173" s="20" t="n"/>
      <c r="G173" s="21">
        <f>IF($A173="","",IF(IFERROR(VALUE($D173),0)&lt;&gt;1,"NO",IF(IFERROR(VALUE($E173),0)&gt;=Parametri!$B$2,"SI","NO")))</f>
        <v/>
      </c>
      <c r="H173" s="21">
        <f>IF($G173="SI",SUMPRODUCT(MAX(($C$2:$C$200=$C173)*(IFERROR($D$2:$D$200*1,0)=1)*(IFERROR($E$2:$E$200*1,0)&gt;=Parametri!$B$2)*IFERROR($F$2:$F$200*1,0))),0)</f>
        <v/>
      </c>
      <c r="I173" s="21">
        <f>IF($G173="SI",IF($H173&gt;0,30*(IFERROR(VALUE($F173),0)/$H173),0),0)</f>
        <v/>
      </c>
      <c r="J173" s="21">
        <f>IF($A173="",0,IF($G173="SI",ROUND(IFERROR(VALUE($E173),0)+$I173,4),ROUND(IFERROR(VALUE($E173),0),4)))</f>
        <v/>
      </c>
      <c r="K173" s="21">
        <f>IF($A173="","",IF(IFERROR(VALUE($D173),0)&lt;&gt;1,"Non attiva",IF(IFERROR(VALUE($E173),0)&lt;Parametri!$B$2,"Sotto soglia","")))</f>
        <v/>
      </c>
      <c r="L173" s="21">
        <f>IF($A173="","",$A173&amp;"|"&amp;$C173)</f>
        <v/>
      </c>
      <c r="M173" s="21">
        <f>IF($A173="","",$C173&amp;"|"&amp;TEXT($J173,"0.0000"))</f>
        <v/>
      </c>
    </row>
    <row r="174">
      <c r="A174" s="20" t="n"/>
      <c r="B174" s="20" t="n"/>
      <c r="C174" s="20" t="n"/>
      <c r="D174" s="20" t="n"/>
      <c r="E174" s="20" t="n"/>
      <c r="F174" s="20" t="n"/>
      <c r="G174" s="21">
        <f>IF($A174="","",IF(IFERROR(VALUE($D174),0)&lt;&gt;1,"NO",IF(IFERROR(VALUE($E174),0)&gt;=Parametri!$B$2,"SI","NO")))</f>
        <v/>
      </c>
      <c r="H174" s="21">
        <f>IF($G174="SI",SUMPRODUCT(MAX(($C$2:$C$200=$C174)*(IFERROR($D$2:$D$200*1,0)=1)*(IFERROR($E$2:$E$200*1,0)&gt;=Parametri!$B$2)*IFERROR($F$2:$F$200*1,0))),0)</f>
        <v/>
      </c>
      <c r="I174" s="21">
        <f>IF($G174="SI",IF($H174&gt;0,30*(IFERROR(VALUE($F174),0)/$H174),0),0)</f>
        <v/>
      </c>
      <c r="J174" s="21">
        <f>IF($A174="",0,IF($G174="SI",ROUND(IFERROR(VALUE($E174),0)+$I174,4),ROUND(IFERROR(VALUE($E174),0),4)))</f>
        <v/>
      </c>
      <c r="K174" s="21">
        <f>IF($A174="","",IF(IFERROR(VALUE($D174),0)&lt;&gt;1,"Non attiva",IF(IFERROR(VALUE($E174),0)&lt;Parametri!$B$2,"Sotto soglia","")))</f>
        <v/>
      </c>
      <c r="L174" s="21">
        <f>IF($A174="","",$A174&amp;"|"&amp;$C174)</f>
        <v/>
      </c>
      <c r="M174" s="21">
        <f>IF($A174="","",$C174&amp;"|"&amp;TEXT($J174,"0.0000"))</f>
        <v/>
      </c>
    </row>
    <row r="175">
      <c r="A175" s="20" t="n"/>
      <c r="B175" s="20" t="n"/>
      <c r="C175" s="20" t="n"/>
      <c r="D175" s="20" t="n"/>
      <c r="E175" s="20" t="n"/>
      <c r="F175" s="20" t="n"/>
      <c r="G175" s="21">
        <f>IF($A175="","",IF(IFERROR(VALUE($D175),0)&lt;&gt;1,"NO",IF(IFERROR(VALUE($E175),0)&gt;=Parametri!$B$2,"SI","NO")))</f>
        <v/>
      </c>
      <c r="H175" s="21">
        <f>IF($G175="SI",SUMPRODUCT(MAX(($C$2:$C$200=$C175)*(IFERROR($D$2:$D$200*1,0)=1)*(IFERROR($E$2:$E$200*1,0)&gt;=Parametri!$B$2)*IFERROR($F$2:$F$200*1,0))),0)</f>
        <v/>
      </c>
      <c r="I175" s="21">
        <f>IF($G175="SI",IF($H175&gt;0,30*(IFERROR(VALUE($F175),0)/$H175),0),0)</f>
        <v/>
      </c>
      <c r="J175" s="21">
        <f>IF($A175="",0,IF($G175="SI",ROUND(IFERROR(VALUE($E175),0)+$I175,4),ROUND(IFERROR(VALUE($E175),0),4)))</f>
        <v/>
      </c>
      <c r="K175" s="21">
        <f>IF($A175="","",IF(IFERROR(VALUE($D175),0)&lt;&gt;1,"Non attiva",IF(IFERROR(VALUE($E175),0)&lt;Parametri!$B$2,"Sotto soglia","")))</f>
        <v/>
      </c>
      <c r="L175" s="21">
        <f>IF($A175="","",$A175&amp;"|"&amp;$C175)</f>
        <v/>
      </c>
      <c r="M175" s="21">
        <f>IF($A175="","",$C175&amp;"|"&amp;TEXT($J175,"0.0000"))</f>
        <v/>
      </c>
    </row>
    <row r="176">
      <c r="A176" s="20" t="n"/>
      <c r="B176" s="20" t="n"/>
      <c r="C176" s="20" t="n"/>
      <c r="D176" s="20" t="n"/>
      <c r="E176" s="20" t="n"/>
      <c r="F176" s="20" t="n"/>
      <c r="G176" s="21">
        <f>IF($A176="","",IF(IFERROR(VALUE($D176),0)&lt;&gt;1,"NO",IF(IFERROR(VALUE($E176),0)&gt;=Parametri!$B$2,"SI","NO")))</f>
        <v/>
      </c>
      <c r="H176" s="21">
        <f>IF($G176="SI",SUMPRODUCT(MAX(($C$2:$C$200=$C176)*(IFERROR($D$2:$D$200*1,0)=1)*(IFERROR($E$2:$E$200*1,0)&gt;=Parametri!$B$2)*IFERROR($F$2:$F$200*1,0))),0)</f>
        <v/>
      </c>
      <c r="I176" s="21">
        <f>IF($G176="SI",IF($H176&gt;0,30*(IFERROR(VALUE($F176),0)/$H176),0),0)</f>
        <v/>
      </c>
      <c r="J176" s="21">
        <f>IF($A176="",0,IF($G176="SI",ROUND(IFERROR(VALUE($E176),0)+$I176,4),ROUND(IFERROR(VALUE($E176),0),4)))</f>
        <v/>
      </c>
      <c r="K176" s="21">
        <f>IF($A176="","",IF(IFERROR(VALUE($D176),0)&lt;&gt;1,"Non attiva",IF(IFERROR(VALUE($E176),0)&lt;Parametri!$B$2,"Sotto soglia","")))</f>
        <v/>
      </c>
      <c r="L176" s="21">
        <f>IF($A176="","",$A176&amp;"|"&amp;$C176)</f>
        <v/>
      </c>
      <c r="M176" s="21">
        <f>IF($A176="","",$C176&amp;"|"&amp;TEXT($J176,"0.0000"))</f>
        <v/>
      </c>
    </row>
    <row r="177">
      <c r="A177" s="20" t="n"/>
      <c r="B177" s="20" t="n"/>
      <c r="C177" s="20" t="n"/>
      <c r="D177" s="20" t="n"/>
      <c r="E177" s="20" t="n"/>
      <c r="F177" s="20" t="n"/>
      <c r="G177" s="21">
        <f>IF($A177="","",IF(IFERROR(VALUE($D177),0)&lt;&gt;1,"NO",IF(IFERROR(VALUE($E177),0)&gt;=Parametri!$B$2,"SI","NO")))</f>
        <v/>
      </c>
      <c r="H177" s="21">
        <f>IF($G177="SI",SUMPRODUCT(MAX(($C$2:$C$200=$C177)*(IFERROR($D$2:$D$200*1,0)=1)*(IFERROR($E$2:$E$200*1,0)&gt;=Parametri!$B$2)*IFERROR($F$2:$F$200*1,0))),0)</f>
        <v/>
      </c>
      <c r="I177" s="21">
        <f>IF($G177="SI",IF($H177&gt;0,30*(IFERROR(VALUE($F177),0)/$H177),0),0)</f>
        <v/>
      </c>
      <c r="J177" s="21">
        <f>IF($A177="",0,IF($G177="SI",ROUND(IFERROR(VALUE($E177),0)+$I177,4),ROUND(IFERROR(VALUE($E177),0),4)))</f>
        <v/>
      </c>
      <c r="K177" s="21">
        <f>IF($A177="","",IF(IFERROR(VALUE($D177),0)&lt;&gt;1,"Non attiva",IF(IFERROR(VALUE($E177),0)&lt;Parametri!$B$2,"Sotto soglia","")))</f>
        <v/>
      </c>
      <c r="L177" s="21">
        <f>IF($A177="","",$A177&amp;"|"&amp;$C177)</f>
        <v/>
      </c>
      <c r="M177" s="21">
        <f>IF($A177="","",$C177&amp;"|"&amp;TEXT($J177,"0.0000"))</f>
        <v/>
      </c>
    </row>
    <row r="178">
      <c r="A178" s="20" t="n"/>
      <c r="B178" s="20" t="n"/>
      <c r="C178" s="20" t="n"/>
      <c r="D178" s="20" t="n"/>
      <c r="E178" s="20" t="n"/>
      <c r="F178" s="20" t="n"/>
      <c r="G178" s="21">
        <f>IF($A178="","",IF(IFERROR(VALUE($D178),0)&lt;&gt;1,"NO",IF(IFERROR(VALUE($E178),0)&gt;=Parametri!$B$2,"SI","NO")))</f>
        <v/>
      </c>
      <c r="H178" s="21">
        <f>IF($G178="SI",SUMPRODUCT(MAX(($C$2:$C$200=$C178)*(IFERROR($D$2:$D$200*1,0)=1)*(IFERROR($E$2:$E$200*1,0)&gt;=Parametri!$B$2)*IFERROR($F$2:$F$200*1,0))),0)</f>
        <v/>
      </c>
      <c r="I178" s="21">
        <f>IF($G178="SI",IF($H178&gt;0,30*(IFERROR(VALUE($F178),0)/$H178),0),0)</f>
        <v/>
      </c>
      <c r="J178" s="21">
        <f>IF($A178="",0,IF($G178="SI",ROUND(IFERROR(VALUE($E178),0)+$I178,4),ROUND(IFERROR(VALUE($E178),0),4)))</f>
        <v/>
      </c>
      <c r="K178" s="21">
        <f>IF($A178="","",IF(IFERROR(VALUE($D178),0)&lt;&gt;1,"Non attiva",IF(IFERROR(VALUE($E178),0)&lt;Parametri!$B$2,"Sotto soglia","")))</f>
        <v/>
      </c>
      <c r="L178" s="21">
        <f>IF($A178="","",$A178&amp;"|"&amp;$C178)</f>
        <v/>
      </c>
      <c r="M178" s="21">
        <f>IF($A178="","",$C178&amp;"|"&amp;TEXT($J178,"0.0000"))</f>
        <v/>
      </c>
    </row>
    <row r="179">
      <c r="A179" s="20" t="n"/>
      <c r="B179" s="20" t="n"/>
      <c r="C179" s="20" t="n"/>
      <c r="D179" s="20" t="n"/>
      <c r="E179" s="20" t="n"/>
      <c r="F179" s="20" t="n"/>
      <c r="G179" s="21">
        <f>IF($A179="","",IF(IFERROR(VALUE($D179),0)&lt;&gt;1,"NO",IF(IFERROR(VALUE($E179),0)&gt;=Parametri!$B$2,"SI","NO")))</f>
        <v/>
      </c>
      <c r="H179" s="21">
        <f>IF($G179="SI",SUMPRODUCT(MAX(($C$2:$C$200=$C179)*(IFERROR($D$2:$D$200*1,0)=1)*(IFERROR($E$2:$E$200*1,0)&gt;=Parametri!$B$2)*IFERROR($F$2:$F$200*1,0))),0)</f>
        <v/>
      </c>
      <c r="I179" s="21">
        <f>IF($G179="SI",IF($H179&gt;0,30*(IFERROR(VALUE($F179),0)/$H179),0),0)</f>
        <v/>
      </c>
      <c r="J179" s="21">
        <f>IF($A179="",0,IF($G179="SI",ROUND(IFERROR(VALUE($E179),0)+$I179,4),ROUND(IFERROR(VALUE($E179),0),4)))</f>
        <v/>
      </c>
      <c r="K179" s="21">
        <f>IF($A179="","",IF(IFERROR(VALUE($D179),0)&lt;&gt;1,"Non attiva",IF(IFERROR(VALUE($E179),0)&lt;Parametri!$B$2,"Sotto soglia","")))</f>
        <v/>
      </c>
      <c r="L179" s="21">
        <f>IF($A179="","",$A179&amp;"|"&amp;$C179)</f>
        <v/>
      </c>
      <c r="M179" s="21">
        <f>IF($A179="","",$C179&amp;"|"&amp;TEXT($J179,"0.0000"))</f>
        <v/>
      </c>
    </row>
    <row r="180">
      <c r="A180" s="20" t="n"/>
      <c r="B180" s="20" t="n"/>
      <c r="C180" s="20" t="n"/>
      <c r="D180" s="20" t="n"/>
      <c r="E180" s="20" t="n"/>
      <c r="F180" s="20" t="n"/>
      <c r="G180" s="21">
        <f>IF($A180="","",IF(IFERROR(VALUE($D180),0)&lt;&gt;1,"NO",IF(IFERROR(VALUE($E180),0)&gt;=Parametri!$B$2,"SI","NO")))</f>
        <v/>
      </c>
      <c r="H180" s="21">
        <f>IF($G180="SI",SUMPRODUCT(MAX(($C$2:$C$200=$C180)*(IFERROR($D$2:$D$200*1,0)=1)*(IFERROR($E$2:$E$200*1,0)&gt;=Parametri!$B$2)*IFERROR($F$2:$F$200*1,0))),0)</f>
        <v/>
      </c>
      <c r="I180" s="21">
        <f>IF($G180="SI",IF($H180&gt;0,30*(IFERROR(VALUE($F180),0)/$H180),0),0)</f>
        <v/>
      </c>
      <c r="J180" s="21">
        <f>IF($A180="",0,IF($G180="SI",ROUND(IFERROR(VALUE($E180),0)+$I180,4),ROUND(IFERROR(VALUE($E180),0),4)))</f>
        <v/>
      </c>
      <c r="K180" s="21">
        <f>IF($A180="","",IF(IFERROR(VALUE($D180),0)&lt;&gt;1,"Non attiva",IF(IFERROR(VALUE($E180),0)&lt;Parametri!$B$2,"Sotto soglia","")))</f>
        <v/>
      </c>
      <c r="L180" s="21">
        <f>IF($A180="","",$A180&amp;"|"&amp;$C180)</f>
        <v/>
      </c>
      <c r="M180" s="21">
        <f>IF($A180="","",$C180&amp;"|"&amp;TEXT($J180,"0.0000"))</f>
        <v/>
      </c>
    </row>
    <row r="181">
      <c r="A181" s="20" t="n"/>
      <c r="B181" s="20" t="n"/>
      <c r="C181" s="20" t="n"/>
      <c r="D181" s="20" t="n"/>
      <c r="E181" s="20" t="n"/>
      <c r="F181" s="20" t="n"/>
      <c r="G181" s="21">
        <f>IF($A181="","",IF(IFERROR(VALUE($D181),0)&lt;&gt;1,"NO",IF(IFERROR(VALUE($E181),0)&gt;=Parametri!$B$2,"SI","NO")))</f>
        <v/>
      </c>
      <c r="H181" s="21">
        <f>IF($G181="SI",SUMPRODUCT(MAX(($C$2:$C$200=$C181)*(IFERROR($D$2:$D$200*1,0)=1)*(IFERROR($E$2:$E$200*1,0)&gt;=Parametri!$B$2)*IFERROR($F$2:$F$200*1,0))),0)</f>
        <v/>
      </c>
      <c r="I181" s="21">
        <f>IF($G181="SI",IF($H181&gt;0,30*(IFERROR(VALUE($F181),0)/$H181),0),0)</f>
        <v/>
      </c>
      <c r="J181" s="21">
        <f>IF($A181="",0,IF($G181="SI",ROUND(IFERROR(VALUE($E181),0)+$I181,4),ROUND(IFERROR(VALUE($E181),0),4)))</f>
        <v/>
      </c>
      <c r="K181" s="21">
        <f>IF($A181="","",IF(IFERROR(VALUE($D181),0)&lt;&gt;1,"Non attiva",IF(IFERROR(VALUE($E181),0)&lt;Parametri!$B$2,"Sotto soglia","")))</f>
        <v/>
      </c>
      <c r="L181" s="21">
        <f>IF($A181="","",$A181&amp;"|"&amp;$C181)</f>
        <v/>
      </c>
      <c r="M181" s="21">
        <f>IF($A181="","",$C181&amp;"|"&amp;TEXT($J181,"0.0000"))</f>
        <v/>
      </c>
    </row>
    <row r="182">
      <c r="A182" s="20" t="n"/>
      <c r="B182" s="20" t="n"/>
      <c r="C182" s="20" t="n"/>
      <c r="D182" s="20" t="n"/>
      <c r="E182" s="20" t="n"/>
      <c r="F182" s="20" t="n"/>
      <c r="G182" s="21">
        <f>IF($A182="","",IF(IFERROR(VALUE($D182),0)&lt;&gt;1,"NO",IF(IFERROR(VALUE($E182),0)&gt;=Parametri!$B$2,"SI","NO")))</f>
        <v/>
      </c>
      <c r="H182" s="21">
        <f>IF($G182="SI",SUMPRODUCT(MAX(($C$2:$C$200=$C182)*(IFERROR($D$2:$D$200*1,0)=1)*(IFERROR($E$2:$E$200*1,0)&gt;=Parametri!$B$2)*IFERROR($F$2:$F$200*1,0))),0)</f>
        <v/>
      </c>
      <c r="I182" s="21">
        <f>IF($G182="SI",IF($H182&gt;0,30*(IFERROR(VALUE($F182),0)/$H182),0),0)</f>
        <v/>
      </c>
      <c r="J182" s="21">
        <f>IF($A182="",0,IF($G182="SI",ROUND(IFERROR(VALUE($E182),0)+$I182,4),ROUND(IFERROR(VALUE($E182),0),4)))</f>
        <v/>
      </c>
      <c r="K182" s="21">
        <f>IF($A182="","",IF(IFERROR(VALUE($D182),0)&lt;&gt;1,"Non attiva",IF(IFERROR(VALUE($E182),0)&lt;Parametri!$B$2,"Sotto soglia","")))</f>
        <v/>
      </c>
      <c r="L182" s="21">
        <f>IF($A182="","",$A182&amp;"|"&amp;$C182)</f>
        <v/>
      </c>
      <c r="M182" s="21">
        <f>IF($A182="","",$C182&amp;"|"&amp;TEXT($J182,"0.0000"))</f>
        <v/>
      </c>
    </row>
    <row r="183">
      <c r="A183" s="20" t="n"/>
      <c r="B183" s="20" t="n"/>
      <c r="C183" s="20" t="n"/>
      <c r="D183" s="20" t="n"/>
      <c r="E183" s="20" t="n"/>
      <c r="F183" s="20" t="n"/>
      <c r="G183" s="21">
        <f>IF($A183="","",IF(IFERROR(VALUE($D183),0)&lt;&gt;1,"NO",IF(IFERROR(VALUE($E183),0)&gt;=Parametri!$B$2,"SI","NO")))</f>
        <v/>
      </c>
      <c r="H183" s="21">
        <f>IF($G183="SI",SUMPRODUCT(MAX(($C$2:$C$200=$C183)*(IFERROR($D$2:$D$200*1,0)=1)*(IFERROR($E$2:$E$200*1,0)&gt;=Parametri!$B$2)*IFERROR($F$2:$F$200*1,0))),0)</f>
        <v/>
      </c>
      <c r="I183" s="21">
        <f>IF($G183="SI",IF($H183&gt;0,30*(IFERROR(VALUE($F183),0)/$H183),0),0)</f>
        <v/>
      </c>
      <c r="J183" s="21">
        <f>IF($A183="",0,IF($G183="SI",ROUND(IFERROR(VALUE($E183),0)+$I183,4),ROUND(IFERROR(VALUE($E183),0),4)))</f>
        <v/>
      </c>
      <c r="K183" s="21">
        <f>IF($A183="","",IF(IFERROR(VALUE($D183),0)&lt;&gt;1,"Non attiva",IF(IFERROR(VALUE($E183),0)&lt;Parametri!$B$2,"Sotto soglia","")))</f>
        <v/>
      </c>
      <c r="L183" s="21">
        <f>IF($A183="","",$A183&amp;"|"&amp;$C183)</f>
        <v/>
      </c>
      <c r="M183" s="21">
        <f>IF($A183="","",$C183&amp;"|"&amp;TEXT($J183,"0.0000"))</f>
        <v/>
      </c>
    </row>
    <row r="184">
      <c r="A184" s="20" t="n"/>
      <c r="B184" s="20" t="n"/>
      <c r="C184" s="20" t="n"/>
      <c r="D184" s="20" t="n"/>
      <c r="E184" s="20" t="n"/>
      <c r="F184" s="20" t="n"/>
      <c r="G184" s="21">
        <f>IF($A184="","",IF(IFERROR(VALUE($D184),0)&lt;&gt;1,"NO",IF(IFERROR(VALUE($E184),0)&gt;=Parametri!$B$2,"SI","NO")))</f>
        <v/>
      </c>
      <c r="H184" s="21">
        <f>IF($G184="SI",SUMPRODUCT(MAX(($C$2:$C$200=$C184)*(IFERROR($D$2:$D$200*1,0)=1)*(IFERROR($E$2:$E$200*1,0)&gt;=Parametri!$B$2)*IFERROR($F$2:$F$200*1,0))),0)</f>
        <v/>
      </c>
      <c r="I184" s="21">
        <f>IF($G184="SI",IF($H184&gt;0,30*(IFERROR(VALUE($F184),0)/$H184),0),0)</f>
        <v/>
      </c>
      <c r="J184" s="21">
        <f>IF($A184="",0,IF($G184="SI",ROUND(IFERROR(VALUE($E184),0)+$I184,4),ROUND(IFERROR(VALUE($E184),0),4)))</f>
        <v/>
      </c>
      <c r="K184" s="21">
        <f>IF($A184="","",IF(IFERROR(VALUE($D184),0)&lt;&gt;1,"Non attiva",IF(IFERROR(VALUE($E184),0)&lt;Parametri!$B$2,"Sotto soglia","")))</f>
        <v/>
      </c>
      <c r="L184" s="21">
        <f>IF($A184="","",$A184&amp;"|"&amp;$C184)</f>
        <v/>
      </c>
      <c r="M184" s="21">
        <f>IF($A184="","",$C184&amp;"|"&amp;TEXT($J184,"0.0000"))</f>
        <v/>
      </c>
    </row>
    <row r="185">
      <c r="A185" s="20" t="n"/>
      <c r="B185" s="20" t="n"/>
      <c r="C185" s="20" t="n"/>
      <c r="D185" s="20" t="n"/>
      <c r="E185" s="20" t="n"/>
      <c r="F185" s="20" t="n"/>
      <c r="G185" s="21">
        <f>IF($A185="","",IF(IFERROR(VALUE($D185),0)&lt;&gt;1,"NO",IF(IFERROR(VALUE($E185),0)&gt;=Parametri!$B$2,"SI","NO")))</f>
        <v/>
      </c>
      <c r="H185" s="21">
        <f>IF($G185="SI",SUMPRODUCT(MAX(($C$2:$C$200=$C185)*(IFERROR($D$2:$D$200*1,0)=1)*(IFERROR($E$2:$E$200*1,0)&gt;=Parametri!$B$2)*IFERROR($F$2:$F$200*1,0))),0)</f>
        <v/>
      </c>
      <c r="I185" s="21">
        <f>IF($G185="SI",IF($H185&gt;0,30*(IFERROR(VALUE($F185),0)/$H185),0),0)</f>
        <v/>
      </c>
      <c r="J185" s="21">
        <f>IF($A185="",0,IF($G185="SI",ROUND(IFERROR(VALUE($E185),0)+$I185,4),ROUND(IFERROR(VALUE($E185),0),4)))</f>
        <v/>
      </c>
      <c r="K185" s="21">
        <f>IF($A185="","",IF(IFERROR(VALUE($D185),0)&lt;&gt;1,"Non attiva",IF(IFERROR(VALUE($E185),0)&lt;Parametri!$B$2,"Sotto soglia","")))</f>
        <v/>
      </c>
      <c r="L185" s="21">
        <f>IF($A185="","",$A185&amp;"|"&amp;$C185)</f>
        <v/>
      </c>
      <c r="M185" s="21">
        <f>IF($A185="","",$C185&amp;"|"&amp;TEXT($J185,"0.0000"))</f>
        <v/>
      </c>
    </row>
    <row r="186">
      <c r="A186" s="20" t="n"/>
      <c r="B186" s="20" t="n"/>
      <c r="C186" s="20" t="n"/>
      <c r="D186" s="20" t="n"/>
      <c r="E186" s="20" t="n"/>
      <c r="F186" s="20" t="n"/>
      <c r="G186" s="21">
        <f>IF($A186="","",IF(IFERROR(VALUE($D186),0)&lt;&gt;1,"NO",IF(IFERROR(VALUE($E186),0)&gt;=Parametri!$B$2,"SI","NO")))</f>
        <v/>
      </c>
      <c r="H186" s="21">
        <f>IF($G186="SI",SUMPRODUCT(MAX(($C$2:$C$200=$C186)*(IFERROR($D$2:$D$200*1,0)=1)*(IFERROR($E$2:$E$200*1,0)&gt;=Parametri!$B$2)*IFERROR($F$2:$F$200*1,0))),0)</f>
        <v/>
      </c>
      <c r="I186" s="21">
        <f>IF($G186="SI",IF($H186&gt;0,30*(IFERROR(VALUE($F186),0)/$H186),0),0)</f>
        <v/>
      </c>
      <c r="J186" s="21">
        <f>IF($A186="",0,IF($G186="SI",ROUND(IFERROR(VALUE($E186),0)+$I186,4),ROUND(IFERROR(VALUE($E186),0),4)))</f>
        <v/>
      </c>
      <c r="K186" s="21">
        <f>IF($A186="","",IF(IFERROR(VALUE($D186),0)&lt;&gt;1,"Non attiva",IF(IFERROR(VALUE($E186),0)&lt;Parametri!$B$2,"Sotto soglia","")))</f>
        <v/>
      </c>
      <c r="L186" s="21">
        <f>IF($A186="","",$A186&amp;"|"&amp;$C186)</f>
        <v/>
      </c>
      <c r="M186" s="21">
        <f>IF($A186="","",$C186&amp;"|"&amp;TEXT($J186,"0.0000"))</f>
        <v/>
      </c>
    </row>
    <row r="187">
      <c r="A187" s="20" t="n"/>
      <c r="B187" s="20" t="n"/>
      <c r="C187" s="20" t="n"/>
      <c r="D187" s="20" t="n"/>
      <c r="E187" s="20" t="n"/>
      <c r="F187" s="20" t="n"/>
      <c r="G187" s="21">
        <f>IF($A187="","",IF(IFERROR(VALUE($D187),0)&lt;&gt;1,"NO",IF(IFERROR(VALUE($E187),0)&gt;=Parametri!$B$2,"SI","NO")))</f>
        <v/>
      </c>
      <c r="H187" s="21">
        <f>IF($G187="SI",SUMPRODUCT(MAX(($C$2:$C$200=$C187)*(IFERROR($D$2:$D$200*1,0)=1)*(IFERROR($E$2:$E$200*1,0)&gt;=Parametri!$B$2)*IFERROR($F$2:$F$200*1,0))),0)</f>
        <v/>
      </c>
      <c r="I187" s="21">
        <f>IF($G187="SI",IF($H187&gt;0,30*(IFERROR(VALUE($F187),0)/$H187),0),0)</f>
        <v/>
      </c>
      <c r="J187" s="21">
        <f>IF($A187="",0,IF($G187="SI",ROUND(IFERROR(VALUE($E187),0)+$I187,4),ROUND(IFERROR(VALUE($E187),0),4)))</f>
        <v/>
      </c>
      <c r="K187" s="21">
        <f>IF($A187="","",IF(IFERROR(VALUE($D187),0)&lt;&gt;1,"Non attiva",IF(IFERROR(VALUE($E187),0)&lt;Parametri!$B$2,"Sotto soglia","")))</f>
        <v/>
      </c>
      <c r="L187" s="21">
        <f>IF($A187="","",$A187&amp;"|"&amp;$C187)</f>
        <v/>
      </c>
      <c r="M187" s="21">
        <f>IF($A187="","",$C187&amp;"|"&amp;TEXT($J187,"0.0000"))</f>
        <v/>
      </c>
    </row>
    <row r="188">
      <c r="A188" s="20" t="n"/>
      <c r="B188" s="20" t="n"/>
      <c r="C188" s="20" t="n"/>
      <c r="D188" s="20" t="n"/>
      <c r="E188" s="20" t="n"/>
      <c r="F188" s="20" t="n"/>
      <c r="G188" s="21">
        <f>IF($A188="","",IF(IFERROR(VALUE($D188),0)&lt;&gt;1,"NO",IF(IFERROR(VALUE($E188),0)&gt;=Parametri!$B$2,"SI","NO")))</f>
        <v/>
      </c>
      <c r="H188" s="21">
        <f>IF($G188="SI",SUMPRODUCT(MAX(($C$2:$C$200=$C188)*(IFERROR($D$2:$D$200*1,0)=1)*(IFERROR($E$2:$E$200*1,0)&gt;=Parametri!$B$2)*IFERROR($F$2:$F$200*1,0))),0)</f>
        <v/>
      </c>
      <c r="I188" s="21">
        <f>IF($G188="SI",IF($H188&gt;0,30*(IFERROR(VALUE($F188),0)/$H188),0),0)</f>
        <v/>
      </c>
      <c r="J188" s="21">
        <f>IF($A188="",0,IF($G188="SI",ROUND(IFERROR(VALUE($E188),0)+$I188,4),ROUND(IFERROR(VALUE($E188),0),4)))</f>
        <v/>
      </c>
      <c r="K188" s="21">
        <f>IF($A188="","",IF(IFERROR(VALUE($D188),0)&lt;&gt;1,"Non attiva",IF(IFERROR(VALUE($E188),0)&lt;Parametri!$B$2,"Sotto soglia","")))</f>
        <v/>
      </c>
      <c r="L188" s="21">
        <f>IF($A188="","",$A188&amp;"|"&amp;$C188)</f>
        <v/>
      </c>
      <c r="M188" s="21">
        <f>IF($A188="","",$C188&amp;"|"&amp;TEXT($J188,"0.0000"))</f>
        <v/>
      </c>
    </row>
    <row r="189">
      <c r="A189" s="20" t="n"/>
      <c r="B189" s="20" t="n"/>
      <c r="C189" s="20" t="n"/>
      <c r="D189" s="20" t="n"/>
      <c r="E189" s="20" t="n"/>
      <c r="F189" s="20" t="n"/>
      <c r="G189" s="21">
        <f>IF($A189="","",IF(IFERROR(VALUE($D189),0)&lt;&gt;1,"NO",IF(IFERROR(VALUE($E189),0)&gt;=Parametri!$B$2,"SI","NO")))</f>
        <v/>
      </c>
      <c r="H189" s="21">
        <f>IF($G189="SI",SUMPRODUCT(MAX(($C$2:$C$200=$C189)*(IFERROR($D$2:$D$200*1,0)=1)*(IFERROR($E$2:$E$200*1,0)&gt;=Parametri!$B$2)*IFERROR($F$2:$F$200*1,0))),0)</f>
        <v/>
      </c>
      <c r="I189" s="21">
        <f>IF($G189="SI",IF($H189&gt;0,30*(IFERROR(VALUE($F189),0)/$H189),0),0)</f>
        <v/>
      </c>
      <c r="J189" s="21">
        <f>IF($A189="",0,IF($G189="SI",ROUND(IFERROR(VALUE($E189),0)+$I189,4),ROUND(IFERROR(VALUE($E189),0),4)))</f>
        <v/>
      </c>
      <c r="K189" s="21">
        <f>IF($A189="","",IF(IFERROR(VALUE($D189),0)&lt;&gt;1,"Non attiva",IF(IFERROR(VALUE($E189),0)&lt;Parametri!$B$2,"Sotto soglia","")))</f>
        <v/>
      </c>
      <c r="L189" s="21">
        <f>IF($A189="","",$A189&amp;"|"&amp;$C189)</f>
        <v/>
      </c>
      <c r="M189" s="21">
        <f>IF($A189="","",$C189&amp;"|"&amp;TEXT($J189,"0.0000"))</f>
        <v/>
      </c>
    </row>
    <row r="190">
      <c r="A190" s="20" t="n"/>
      <c r="B190" s="20" t="n"/>
      <c r="C190" s="20" t="n"/>
      <c r="D190" s="20" t="n"/>
      <c r="E190" s="20" t="n"/>
      <c r="F190" s="20" t="n"/>
      <c r="G190" s="21">
        <f>IF($A190="","",IF(IFERROR(VALUE($D190),0)&lt;&gt;1,"NO",IF(IFERROR(VALUE($E190),0)&gt;=Parametri!$B$2,"SI","NO")))</f>
        <v/>
      </c>
      <c r="H190" s="21">
        <f>IF($G190="SI",SUMPRODUCT(MAX(($C$2:$C$200=$C190)*(IFERROR($D$2:$D$200*1,0)=1)*(IFERROR($E$2:$E$200*1,0)&gt;=Parametri!$B$2)*IFERROR($F$2:$F$200*1,0))),0)</f>
        <v/>
      </c>
      <c r="I190" s="21">
        <f>IF($G190="SI",IF($H190&gt;0,30*(IFERROR(VALUE($F190),0)/$H190),0),0)</f>
        <v/>
      </c>
      <c r="J190" s="21">
        <f>IF($A190="",0,IF($G190="SI",ROUND(IFERROR(VALUE($E190),0)+$I190,4),ROUND(IFERROR(VALUE($E190),0),4)))</f>
        <v/>
      </c>
      <c r="K190" s="21">
        <f>IF($A190="","",IF(IFERROR(VALUE($D190),0)&lt;&gt;1,"Non attiva",IF(IFERROR(VALUE($E190),0)&lt;Parametri!$B$2,"Sotto soglia","")))</f>
        <v/>
      </c>
      <c r="L190" s="21">
        <f>IF($A190="","",$A190&amp;"|"&amp;$C190)</f>
        <v/>
      </c>
      <c r="M190" s="21">
        <f>IF($A190="","",$C190&amp;"|"&amp;TEXT($J190,"0.0000"))</f>
        <v/>
      </c>
    </row>
    <row r="191">
      <c r="A191" s="20" t="n"/>
      <c r="B191" s="20" t="n"/>
      <c r="C191" s="20" t="n"/>
      <c r="D191" s="20" t="n"/>
      <c r="E191" s="20" t="n"/>
      <c r="F191" s="20" t="n"/>
      <c r="G191" s="21">
        <f>IF($A191="","",IF(IFERROR(VALUE($D191),0)&lt;&gt;1,"NO",IF(IFERROR(VALUE($E191),0)&gt;=Parametri!$B$2,"SI","NO")))</f>
        <v/>
      </c>
      <c r="H191" s="21">
        <f>IF($G191="SI",SUMPRODUCT(MAX(($C$2:$C$200=$C191)*(IFERROR($D$2:$D$200*1,0)=1)*(IFERROR($E$2:$E$200*1,0)&gt;=Parametri!$B$2)*IFERROR($F$2:$F$200*1,0))),0)</f>
        <v/>
      </c>
      <c r="I191" s="21">
        <f>IF($G191="SI",IF($H191&gt;0,30*(IFERROR(VALUE($F191),0)/$H191),0),0)</f>
        <v/>
      </c>
      <c r="J191" s="21">
        <f>IF($A191="",0,IF($G191="SI",ROUND(IFERROR(VALUE($E191),0)+$I191,4),ROUND(IFERROR(VALUE($E191),0),4)))</f>
        <v/>
      </c>
      <c r="K191" s="21">
        <f>IF($A191="","",IF(IFERROR(VALUE($D191),0)&lt;&gt;1,"Non attiva",IF(IFERROR(VALUE($E191),0)&lt;Parametri!$B$2,"Sotto soglia","")))</f>
        <v/>
      </c>
      <c r="L191" s="21">
        <f>IF($A191="","",$A191&amp;"|"&amp;$C191)</f>
        <v/>
      </c>
      <c r="M191" s="21">
        <f>IF($A191="","",$C191&amp;"|"&amp;TEXT($J191,"0.0000"))</f>
        <v/>
      </c>
    </row>
    <row r="192">
      <c r="A192" s="20" t="n"/>
      <c r="B192" s="20" t="n"/>
      <c r="C192" s="20" t="n"/>
      <c r="D192" s="20" t="n"/>
      <c r="E192" s="20" t="n"/>
      <c r="F192" s="20" t="n"/>
      <c r="G192" s="21">
        <f>IF($A192="","",IF(IFERROR(VALUE($D192),0)&lt;&gt;1,"NO",IF(IFERROR(VALUE($E192),0)&gt;=Parametri!$B$2,"SI","NO")))</f>
        <v/>
      </c>
      <c r="H192" s="21">
        <f>IF($G192="SI",SUMPRODUCT(MAX(($C$2:$C$200=$C192)*(IFERROR($D$2:$D$200*1,0)=1)*(IFERROR($E$2:$E$200*1,0)&gt;=Parametri!$B$2)*IFERROR($F$2:$F$200*1,0))),0)</f>
        <v/>
      </c>
      <c r="I192" s="21">
        <f>IF($G192="SI",IF($H192&gt;0,30*(IFERROR(VALUE($F192),0)/$H192),0),0)</f>
        <v/>
      </c>
      <c r="J192" s="21">
        <f>IF($A192="",0,IF($G192="SI",ROUND(IFERROR(VALUE($E192),0)+$I192,4),ROUND(IFERROR(VALUE($E192),0),4)))</f>
        <v/>
      </c>
      <c r="K192" s="21">
        <f>IF($A192="","",IF(IFERROR(VALUE($D192),0)&lt;&gt;1,"Non attiva",IF(IFERROR(VALUE($E192),0)&lt;Parametri!$B$2,"Sotto soglia","")))</f>
        <v/>
      </c>
      <c r="L192" s="21">
        <f>IF($A192="","",$A192&amp;"|"&amp;$C192)</f>
        <v/>
      </c>
      <c r="M192" s="21">
        <f>IF($A192="","",$C192&amp;"|"&amp;TEXT($J192,"0.0000"))</f>
        <v/>
      </c>
    </row>
    <row r="193">
      <c r="A193" s="20" t="n"/>
      <c r="B193" s="20" t="n"/>
      <c r="C193" s="20" t="n"/>
      <c r="D193" s="20" t="n"/>
      <c r="E193" s="20" t="n"/>
      <c r="F193" s="20" t="n"/>
      <c r="G193" s="21">
        <f>IF($A193="","",IF(IFERROR(VALUE($D193),0)&lt;&gt;1,"NO",IF(IFERROR(VALUE($E193),0)&gt;=Parametri!$B$2,"SI","NO")))</f>
        <v/>
      </c>
      <c r="H193" s="21">
        <f>IF($G193="SI",SUMPRODUCT(MAX(($C$2:$C$200=$C193)*(IFERROR($D$2:$D$200*1,0)=1)*(IFERROR($E$2:$E$200*1,0)&gt;=Parametri!$B$2)*IFERROR($F$2:$F$200*1,0))),0)</f>
        <v/>
      </c>
      <c r="I193" s="21">
        <f>IF($G193="SI",IF($H193&gt;0,30*(IFERROR(VALUE($F193),0)/$H193),0),0)</f>
        <v/>
      </c>
      <c r="J193" s="21">
        <f>IF($A193="",0,IF($G193="SI",ROUND(IFERROR(VALUE($E193),0)+$I193,4),ROUND(IFERROR(VALUE($E193),0),4)))</f>
        <v/>
      </c>
      <c r="K193" s="21">
        <f>IF($A193="","",IF(IFERROR(VALUE($D193),0)&lt;&gt;1,"Non attiva",IF(IFERROR(VALUE($E193),0)&lt;Parametri!$B$2,"Sotto soglia","")))</f>
        <v/>
      </c>
      <c r="L193" s="21">
        <f>IF($A193="","",$A193&amp;"|"&amp;$C193)</f>
        <v/>
      </c>
      <c r="M193" s="21">
        <f>IF($A193="","",$C193&amp;"|"&amp;TEXT($J193,"0.0000"))</f>
        <v/>
      </c>
    </row>
    <row r="194">
      <c r="A194" s="20" t="n"/>
      <c r="B194" s="20" t="n"/>
      <c r="C194" s="20" t="n"/>
      <c r="D194" s="20" t="n"/>
      <c r="E194" s="20" t="n"/>
      <c r="F194" s="20" t="n"/>
      <c r="G194" s="21">
        <f>IF($A194="","",IF(IFERROR(VALUE($D194),0)&lt;&gt;1,"NO",IF(IFERROR(VALUE($E194),0)&gt;=Parametri!$B$2,"SI","NO")))</f>
        <v/>
      </c>
      <c r="H194" s="21">
        <f>IF($G194="SI",SUMPRODUCT(MAX(($C$2:$C$200=$C194)*(IFERROR($D$2:$D$200*1,0)=1)*(IFERROR($E$2:$E$200*1,0)&gt;=Parametri!$B$2)*IFERROR($F$2:$F$200*1,0))),0)</f>
        <v/>
      </c>
      <c r="I194" s="21">
        <f>IF($G194="SI",IF($H194&gt;0,30*(IFERROR(VALUE($F194),0)/$H194),0),0)</f>
        <v/>
      </c>
      <c r="J194" s="21">
        <f>IF($A194="",0,IF($G194="SI",ROUND(IFERROR(VALUE($E194),0)+$I194,4),ROUND(IFERROR(VALUE($E194),0),4)))</f>
        <v/>
      </c>
      <c r="K194" s="21">
        <f>IF($A194="","",IF(IFERROR(VALUE($D194),0)&lt;&gt;1,"Non attiva",IF(IFERROR(VALUE($E194),0)&lt;Parametri!$B$2,"Sotto soglia","")))</f>
        <v/>
      </c>
      <c r="L194" s="21">
        <f>IF($A194="","",$A194&amp;"|"&amp;$C194)</f>
        <v/>
      </c>
      <c r="M194" s="21">
        <f>IF($A194="","",$C194&amp;"|"&amp;TEXT($J194,"0.0000"))</f>
        <v/>
      </c>
    </row>
    <row r="195">
      <c r="A195" s="20" t="n"/>
      <c r="B195" s="20" t="n"/>
      <c r="C195" s="20" t="n"/>
      <c r="D195" s="20" t="n"/>
      <c r="E195" s="20" t="n"/>
      <c r="F195" s="20" t="n"/>
      <c r="G195" s="21">
        <f>IF($A195="","",IF(IFERROR(VALUE($D195),0)&lt;&gt;1,"NO",IF(IFERROR(VALUE($E195),0)&gt;=Parametri!$B$2,"SI","NO")))</f>
        <v/>
      </c>
      <c r="H195" s="21">
        <f>IF($G195="SI",SUMPRODUCT(MAX(($C$2:$C$200=$C195)*(IFERROR($D$2:$D$200*1,0)=1)*(IFERROR($E$2:$E$200*1,0)&gt;=Parametri!$B$2)*IFERROR($F$2:$F$200*1,0))),0)</f>
        <v/>
      </c>
      <c r="I195" s="21">
        <f>IF($G195="SI",IF($H195&gt;0,30*(IFERROR(VALUE($F195),0)/$H195),0),0)</f>
        <v/>
      </c>
      <c r="J195" s="21">
        <f>IF($A195="",0,IF($G195="SI",ROUND(IFERROR(VALUE($E195),0)+$I195,4),ROUND(IFERROR(VALUE($E195),0),4)))</f>
        <v/>
      </c>
      <c r="K195" s="21">
        <f>IF($A195="","",IF(IFERROR(VALUE($D195),0)&lt;&gt;1,"Non attiva",IF(IFERROR(VALUE($E195),0)&lt;Parametri!$B$2,"Sotto soglia","")))</f>
        <v/>
      </c>
      <c r="L195" s="21">
        <f>IF($A195="","",$A195&amp;"|"&amp;$C195)</f>
        <v/>
      </c>
      <c r="M195" s="21">
        <f>IF($A195="","",$C195&amp;"|"&amp;TEXT($J195,"0.0000"))</f>
        <v/>
      </c>
    </row>
    <row r="196">
      <c r="A196" s="20" t="n"/>
      <c r="B196" s="20" t="n"/>
      <c r="C196" s="20" t="n"/>
      <c r="D196" s="20" t="n"/>
      <c r="E196" s="20" t="n"/>
      <c r="F196" s="20" t="n"/>
      <c r="G196" s="21">
        <f>IF($A196="","",IF(IFERROR(VALUE($D196),0)&lt;&gt;1,"NO",IF(IFERROR(VALUE($E196),0)&gt;=Parametri!$B$2,"SI","NO")))</f>
        <v/>
      </c>
      <c r="H196" s="21">
        <f>IF($G196="SI",SUMPRODUCT(MAX(($C$2:$C$200=$C196)*(IFERROR($D$2:$D$200*1,0)=1)*(IFERROR($E$2:$E$200*1,0)&gt;=Parametri!$B$2)*IFERROR($F$2:$F$200*1,0))),0)</f>
        <v/>
      </c>
      <c r="I196" s="21">
        <f>IF($G196="SI",IF($H196&gt;0,30*(IFERROR(VALUE($F196),0)/$H196),0),0)</f>
        <v/>
      </c>
      <c r="J196" s="21">
        <f>IF($A196="",0,IF($G196="SI",ROUND(IFERROR(VALUE($E196),0)+$I196,4),ROUND(IFERROR(VALUE($E196),0),4)))</f>
        <v/>
      </c>
      <c r="K196" s="21">
        <f>IF($A196="","",IF(IFERROR(VALUE($D196),0)&lt;&gt;1,"Non attiva",IF(IFERROR(VALUE($E196),0)&lt;Parametri!$B$2,"Sotto soglia","")))</f>
        <v/>
      </c>
      <c r="L196" s="21">
        <f>IF($A196="","",$A196&amp;"|"&amp;$C196)</f>
        <v/>
      </c>
      <c r="M196" s="21">
        <f>IF($A196="","",$C196&amp;"|"&amp;TEXT($J196,"0.0000"))</f>
        <v/>
      </c>
    </row>
    <row r="197">
      <c r="A197" s="20" t="n"/>
      <c r="B197" s="20" t="n"/>
      <c r="C197" s="20" t="n"/>
      <c r="D197" s="20" t="n"/>
      <c r="E197" s="20" t="n"/>
      <c r="F197" s="20" t="n"/>
      <c r="G197" s="21">
        <f>IF($A197="","",IF(IFERROR(VALUE($D197),0)&lt;&gt;1,"NO",IF(IFERROR(VALUE($E197),0)&gt;=Parametri!$B$2,"SI","NO")))</f>
        <v/>
      </c>
      <c r="H197" s="21">
        <f>IF($G197="SI",SUMPRODUCT(MAX(($C$2:$C$200=$C197)*(IFERROR($D$2:$D$200*1,0)=1)*(IFERROR($E$2:$E$200*1,0)&gt;=Parametri!$B$2)*IFERROR($F$2:$F$200*1,0))),0)</f>
        <v/>
      </c>
      <c r="I197" s="21">
        <f>IF($G197="SI",IF($H197&gt;0,30*(IFERROR(VALUE($F197),0)/$H197),0),0)</f>
        <v/>
      </c>
      <c r="J197" s="21">
        <f>IF($A197="",0,IF($G197="SI",ROUND(IFERROR(VALUE($E197),0)+$I197,4),ROUND(IFERROR(VALUE($E197),0),4)))</f>
        <v/>
      </c>
      <c r="K197" s="21">
        <f>IF($A197="","",IF(IFERROR(VALUE($D197),0)&lt;&gt;1,"Non attiva",IF(IFERROR(VALUE($E197),0)&lt;Parametri!$B$2,"Sotto soglia","")))</f>
        <v/>
      </c>
      <c r="L197" s="21">
        <f>IF($A197="","",$A197&amp;"|"&amp;$C197)</f>
        <v/>
      </c>
      <c r="M197" s="21">
        <f>IF($A197="","",$C197&amp;"|"&amp;TEXT($J197,"0.0000"))</f>
        <v/>
      </c>
    </row>
    <row r="198">
      <c r="A198" s="20" t="n"/>
      <c r="B198" s="20" t="n"/>
      <c r="C198" s="20" t="n"/>
      <c r="D198" s="20" t="n"/>
      <c r="E198" s="20" t="n"/>
      <c r="F198" s="20" t="n"/>
      <c r="G198" s="21">
        <f>IF($A198="","",IF(IFERROR(VALUE($D198),0)&lt;&gt;1,"NO",IF(IFERROR(VALUE($E198),0)&gt;=Parametri!$B$2,"SI","NO")))</f>
        <v/>
      </c>
      <c r="H198" s="21">
        <f>IF($G198="SI",SUMPRODUCT(MAX(($C$2:$C$200=$C198)*(IFERROR($D$2:$D$200*1,0)=1)*(IFERROR($E$2:$E$200*1,0)&gt;=Parametri!$B$2)*IFERROR($F$2:$F$200*1,0))),0)</f>
        <v/>
      </c>
      <c r="I198" s="21">
        <f>IF($G198="SI",IF($H198&gt;0,30*(IFERROR(VALUE($F198),0)/$H198),0),0)</f>
        <v/>
      </c>
      <c r="J198" s="21">
        <f>IF($A198="",0,IF($G198="SI",ROUND(IFERROR(VALUE($E198),0)+$I198,4),ROUND(IFERROR(VALUE($E198),0),4)))</f>
        <v/>
      </c>
      <c r="K198" s="21">
        <f>IF($A198="","",IF(IFERROR(VALUE($D198),0)&lt;&gt;1,"Non attiva",IF(IFERROR(VALUE($E198),0)&lt;Parametri!$B$2,"Sotto soglia","")))</f>
        <v/>
      </c>
      <c r="L198" s="21">
        <f>IF($A198="","",$A198&amp;"|"&amp;$C198)</f>
        <v/>
      </c>
      <c r="M198" s="21">
        <f>IF($A198="","",$C198&amp;"|"&amp;TEXT($J198,"0.0000"))</f>
        <v/>
      </c>
    </row>
    <row r="199">
      <c r="A199" s="20" t="n"/>
      <c r="B199" s="20" t="n"/>
      <c r="C199" s="20" t="n"/>
      <c r="D199" s="20" t="n"/>
      <c r="E199" s="20" t="n"/>
      <c r="F199" s="20" t="n"/>
      <c r="G199" s="21">
        <f>IF($A199="","",IF(IFERROR(VALUE($D199),0)&lt;&gt;1,"NO",IF(IFERROR(VALUE($E199),0)&gt;=Parametri!$B$2,"SI","NO")))</f>
        <v/>
      </c>
      <c r="H199" s="21">
        <f>IF($G199="SI",SUMPRODUCT(MAX(($C$2:$C$200=$C199)*(IFERROR($D$2:$D$200*1,0)=1)*(IFERROR($E$2:$E$200*1,0)&gt;=Parametri!$B$2)*IFERROR($F$2:$F$200*1,0))),0)</f>
        <v/>
      </c>
      <c r="I199" s="21">
        <f>IF($G199="SI",IF($H199&gt;0,30*(IFERROR(VALUE($F199),0)/$H199),0),0)</f>
        <v/>
      </c>
      <c r="J199" s="21">
        <f>IF($A199="",0,IF($G199="SI",ROUND(IFERROR(VALUE($E199),0)+$I199,4),ROUND(IFERROR(VALUE($E199),0),4)))</f>
        <v/>
      </c>
      <c r="K199" s="21">
        <f>IF($A199="","",IF(IFERROR(VALUE($D199),0)&lt;&gt;1,"Non attiva",IF(IFERROR(VALUE($E199),0)&lt;Parametri!$B$2,"Sotto soglia","")))</f>
        <v/>
      </c>
      <c r="L199" s="21">
        <f>IF($A199="","",$A199&amp;"|"&amp;$C199)</f>
        <v/>
      </c>
      <c r="M199" s="21">
        <f>IF($A199="","",$C199&amp;"|"&amp;TEXT($J199,"0.0000"))</f>
        <v/>
      </c>
    </row>
    <row r="200">
      <c r="A200" s="20" t="n"/>
      <c r="B200" s="20" t="n"/>
      <c r="C200" s="20" t="n"/>
      <c r="D200" s="20" t="n"/>
      <c r="E200" s="20" t="n"/>
      <c r="F200" s="20" t="n"/>
      <c r="G200" s="21">
        <f>IF($A200="","",IF(IFERROR(VALUE($D200),0)&lt;&gt;1,"NO",IF(IFERROR(VALUE($E200),0)&gt;=Parametri!$B$2,"SI","NO")))</f>
        <v/>
      </c>
      <c r="H200" s="21">
        <f>IF($G200="SI",SUMPRODUCT(MAX(($C$2:$C$200=$C200)*(IFERROR($D$2:$D$200*1,0)=1)*(IFERROR($E$2:$E$200*1,0)&gt;=Parametri!$B$2)*IFERROR($F$2:$F$200*1,0))),0)</f>
        <v/>
      </c>
      <c r="I200" s="21">
        <f>IF($G200="SI",IF($H200&gt;0,30*(IFERROR(VALUE($F200),0)/$H200),0),0)</f>
        <v/>
      </c>
      <c r="J200" s="21">
        <f>IF($A200="",0,IF($G200="SI",ROUND(IFERROR(VALUE($E200),0)+$I200,4),ROUND(IFERROR(VALUE($E200),0),4)))</f>
        <v/>
      </c>
      <c r="K200" s="21">
        <f>IF($A200="","",IF(IFERROR(VALUE($D200),0)&lt;&gt;1,"Non attiva",IF(IFERROR(VALUE($E200),0)&lt;Parametri!$B$2,"Sotto soglia","")))</f>
        <v/>
      </c>
      <c r="L200" s="21">
        <f>IF($A200="","",$A200&amp;"|"&amp;$C200)</f>
        <v/>
      </c>
      <c r="M200" s="21">
        <f>IF($A200="","",$C200&amp;"|"&amp;TEXT($J200,"0.0000"))</f>
        <v/>
      </c>
    </row>
  </sheetData>
  <conditionalFormatting sqref="D2:D200">
    <cfRule type="cellIs" priority="5" operator="equal" dxfId="0">
      <formula>"0"</formula>
    </cfRule>
  </conditionalFormatting>
  <conditionalFormatting sqref="E2:E200">
    <cfRule type="expression" priority="6" dxfId="1">
      <formula>AND($E2&lt;Parametri!$B$2,$A2&lt;&gt;"")</formula>
    </cfRule>
  </conditionalFormatting>
  <conditionalFormatting sqref="G2:G200">
    <cfRule type="cellIs" priority="7" operator="equal" dxfId="2">
      <formula>"SI"</formula>
    </cfRule>
    <cfRule type="cellIs" priority="8" operator="equal" dxfId="0">
      <formula>"NO"</formula>
    </cfRule>
  </conditionalFormatting>
  <dataValidations count="4">
    <dataValidation sqref="C2:C200" showDropDown="0" showInputMessage="0" showErrorMessage="0" allowBlank="1" type="list">
      <formula1>"L1,L2,L3,L4"</formula1>
    </dataValidation>
    <dataValidation sqref="D2:D200" showDropDown="0" showInputMessage="0" showErrorMessage="0" allowBlank="1" type="list">
      <formula1>"1,0"</formula1>
    </dataValidation>
    <dataValidation sqref="E2:E200" showDropDown="0" showInputMessage="0" showErrorMessage="0" allowBlank="1" type="decimal" operator="between">
      <formula1>0</formula1>
      <formula2>70</formula2>
    </dataValidation>
    <dataValidation sqref="F2:F200" showDropDown="0" showInputMessage="0" showErrorMessage="0" allowBlank="1" type="decimal" operator="between">
      <formula1>0</formula1>
      <formula2>100</formula2>
    </dataValidation>
  </dataValidations>
  <pageMargins left="0.25" right="0.25" top="0.5" bottom="0.5" header="0.5" footer="0.5"/>
  <pageSetup fitToHeight="0" fitToWidth="1"/>
  <tableParts count="1">
    <tablePart xmlns:r="http://schemas.openxmlformats.org/officeDocument/2006/relationships" r:id="rId1"/>
  </tableParts>
</worksheet>
</file>

<file path=xl/worksheets/sheet6.xml><?xml version="1.0" encoding="utf-8"?>
<worksheet xmlns="http://schemas.openxmlformats.org/spreadsheetml/2006/main">
  <sheetPr>
    <tabColor rgb="008064A2"/>
    <outlinePr summaryBelow="1" summaryRight="1"/>
    <pageSetUpPr fitToPage="1"/>
  </sheetPr>
  <dimension ref="A1:W80"/>
  <sheetViews>
    <sheetView showGridLines="0" tabSelected="0" workbookViewId="0">
      <pane ySplit="4" topLeftCell="A5" activePane="bottomLeft" state="frozen"/>
      <selection pane="bottomLeft" activeCell="A1" sqref="A1"/>
    </sheetView>
  </sheetViews>
  <sheetFormatPr baseColWidth="8" defaultRowHeight="15"/>
  <cols>
    <col width="16" customWidth="1" min="1" max="1"/>
    <col width="26" customWidth="1" min="2" max="2"/>
    <col width="14" customWidth="1" min="3" max="3"/>
    <col width="10" customWidth="1" min="4" max="4"/>
    <col width="22" customWidth="1" min="5" max="5"/>
    <col width="14" customWidth="1" min="6" max="6"/>
    <col width="14" customWidth="1" min="7" max="7"/>
    <col width="10" customWidth="1" min="8" max="8"/>
    <col width="10" customWidth="1" min="9" max="9"/>
    <col width="10" customWidth="1" min="10" max="10"/>
    <col width="10" customWidth="1" min="11" max="11"/>
    <col width="12" customWidth="1" min="12" max="12"/>
    <col width="12" customWidth="1" min="13" max="13"/>
    <col width="14" customWidth="1" min="14" max="14"/>
    <col width="14" customWidth="1" min="15" max="15"/>
    <col width="14" customWidth="1" min="16" max="16"/>
    <col width="16" customWidth="1" min="17" max="17"/>
    <col width="32" customWidth="1" min="18" max="18"/>
    <col width="16" customWidth="1" min="19" max="19"/>
    <col width="16" customWidth="1" min="20" max="20"/>
    <col width="22" customWidth="1" min="21" max="21"/>
    <col hidden="1" width="18" customWidth="1" min="22" max="22"/>
    <col hidden="1" width="18" customWidth="1" min="23" max="23"/>
  </cols>
  <sheetData>
    <row r="1" ht="28" customHeight="1">
      <c r="A1" s="4" t="inlineStr">
        <is>
          <t>Combinatorie</t>
        </is>
      </c>
    </row>
    <row r="2">
      <c r="A2" s="5" t="inlineStr">
        <is>
          <t>Input light per confrontare coppie L1+L2, L2+L3, L3+L4 e L1+L4 nella matrice scenario globale.</t>
        </is>
      </c>
    </row>
    <row r="4" ht="24" customHeight="1">
      <c r="A4" s="18" t="inlineStr">
        <is>
          <t>BidderId</t>
        </is>
      </c>
      <c r="B4" s="18" t="inlineStr">
        <is>
          <t>BidderNome</t>
        </is>
      </c>
      <c r="C4" s="18" t="inlineStr">
        <is>
          <t>Coppia</t>
        </is>
      </c>
      <c r="D4" s="18" t="inlineStr">
        <is>
          <t>Attivo</t>
        </is>
      </c>
      <c r="E4" s="18" t="inlineStr">
        <is>
          <t>RibassoCombinatoria</t>
        </is>
      </c>
      <c r="F4" s="18" t="inlineStr">
        <is>
          <t>InseritoBuste</t>
        </is>
      </c>
      <c r="G4" s="18" t="inlineStr">
        <is>
          <t>PEFCoerente</t>
        </is>
      </c>
      <c r="H4" s="18" t="inlineStr">
        <is>
          <t>LottoA</t>
        </is>
      </c>
      <c r="I4" s="18" t="inlineStr">
        <is>
          <t>LottoB</t>
        </is>
      </c>
      <c r="J4" s="18" t="inlineStr">
        <is>
          <t>AttivoA</t>
        </is>
      </c>
      <c r="K4" s="18" t="inlineStr">
        <is>
          <t>AttivoB</t>
        </is>
      </c>
      <c r="L4" s="18" t="inlineStr">
        <is>
          <t>TecnicoA</t>
        </is>
      </c>
      <c r="M4" s="18" t="inlineStr">
        <is>
          <t>TecnicoB</t>
        </is>
      </c>
      <c r="N4" s="18" t="inlineStr">
        <is>
          <t>Ammissibile</t>
        </is>
      </c>
      <c r="O4" s="18" t="inlineStr">
        <is>
          <t>EconomicoA</t>
        </is>
      </c>
      <c r="P4" s="18" t="inlineStr">
        <is>
          <t>EconomicoB</t>
        </is>
      </c>
      <c r="Q4" s="18" t="inlineStr">
        <is>
          <t>TotaleCoppia</t>
        </is>
      </c>
      <c r="R4" s="18" t="inlineStr">
        <is>
          <t>Note</t>
        </is>
      </c>
      <c r="S4" s="18" t="inlineStr">
        <is>
          <t>RibassoSingoloA</t>
        </is>
      </c>
      <c r="T4" s="18" t="inlineStr">
        <is>
          <t>RibassoSingoloB</t>
        </is>
      </c>
      <c r="U4" s="18" t="inlineStr">
        <is>
          <t>RibassoMinimoIndicativo</t>
        </is>
      </c>
      <c r="V4" s="18" t="inlineStr">
        <is>
          <t>ChiaveCoppiaTotale</t>
        </is>
      </c>
      <c r="W4" s="18" t="inlineStr">
        <is>
          <t>ChiaveCoppiaBidder</t>
        </is>
      </c>
    </row>
    <row r="5">
      <c r="A5" s="20" t="inlineStr">
        <is>
          <t>B1</t>
        </is>
      </c>
      <c r="B5" s="20">
        <f>IF($A5="","",IFERROR(INDEX(Offerte!$B$2:$B$200,MATCH($A5,Offerte!$A$2:$A$200,0)),""))</f>
        <v/>
      </c>
      <c r="C5" s="20" t="inlineStr">
        <is>
          <t>L1+L2</t>
        </is>
      </c>
      <c r="D5" s="20" t="n">
        <v>0</v>
      </c>
      <c r="E5" s="20" t="n">
        <v>5.75</v>
      </c>
      <c r="F5" s="20" t="n">
        <v>1</v>
      </c>
      <c r="G5" s="20" t="n">
        <v>1</v>
      </c>
      <c r="H5" s="21">
        <f>IF($C5="L1+L2","L1",IF($C5="L2+L3","L2",IF($C5="L3+L4","L3",IF($C5="L1+L4","L1",""))))</f>
        <v/>
      </c>
      <c r="I5" s="21">
        <f>IF($C5="L1+L2","L2",IF($C5="L2+L3","L3",IF($C5="L3+L4","L4",IF($C5="L1+L4","L4",""))))</f>
        <v/>
      </c>
      <c r="J5" s="21">
        <f>IF($H5="","",IFERROR(INDEX(Offerte!$D$2:$D$200,MATCH($A5&amp;"|"&amp;$H5,Offerte!$L$2:$L$200,0)),0))</f>
        <v/>
      </c>
      <c r="K5" s="21">
        <f>IF($I5="","",IFERROR(INDEX(Offerte!$D$2:$D$200,MATCH($A5&amp;"|"&amp;$I5,Offerte!$L$2:$L$200,0)),0))</f>
        <v/>
      </c>
      <c r="L5" s="21">
        <f>IF($H5="","",IFERROR(INDEX(Offerte!$E$2:$E$200,MATCH($A5&amp;"|"&amp;$H5,Offerte!$L$2:$L$200,0)),0))</f>
        <v/>
      </c>
      <c r="M5" s="21">
        <f>IF($I5="","",IFERROR(INDEX(Offerte!$E$2:$E$200,MATCH($A5&amp;"|"&amp;$I5,Offerte!$L$2:$L$200,0)),0))</f>
        <v/>
      </c>
      <c r="N5" s="21">
        <f>IF($A5="","",IF(IFERROR(VALUE($D5),0)&lt;&gt;1,"NO",IF(AND(IFERROR(VALUE($J5),0)=1,IFERROR(VALUE($K5),0)=1,IFERROR(VALUE($L5),0)&gt;=Parametri!$B$2,IFERROR(VALUE($M5),0)&gt;=Parametri!$B$2,IFERROR(VALUE($F5),0)=1,IFERROR(VALUE($G5),0)=1,IFERROR(VALUE($E5),0)&gt;$U5),"SI","NO")))</f>
        <v/>
      </c>
      <c r="O5" s="21">
        <f>IF($N5="SI",IFERROR(30*(IFERROR(VALUE($E5),0)/MAX(SUMPRODUCT(MAX((Offerte!$C$2:$C$200=$H5)*(IFERROR(Offerte!$D$2:$D$200*1,0)=1)*(IFERROR(Offerte!$E$2:$E$200*1,0)&gt;=Parametri!$B$2)*IFERROR(Offerte!$F$2:$F$200*1,0))),SUMPRODUCT(MAX(($H$5:$H$80=$H5)*($N$5:$N$80="SI")*IFERROR($E$5:$E$80*1,0))),SUMPRODUCT(MAX(($I$5:$I$80=$H5)*($N$5:$N$80="SI")*IFERROR($E$5:$E$80*1,0))))),0),0)</f>
        <v/>
      </c>
      <c r="P5" s="21">
        <f>IF($N5="SI",IFERROR(30*(IFERROR(VALUE($E5),0)/MAX(SUMPRODUCT(MAX((Offerte!$C$2:$C$200=$I5)*(IFERROR(Offerte!$D$2:$D$200*1,0)=1)*(IFERROR(Offerte!$E$2:$E$200*1,0)&gt;=Parametri!$B$2)*IFERROR(Offerte!$F$2:$F$200*1,0))),SUMPRODUCT(MAX(($H$5:$H$80=$I5)*($N$5:$N$80="SI")*IFERROR($E$5:$E$80*1,0))),SUMPRODUCT(MAX(($I$5:$I$80=$I5)*($N$5:$N$80="SI")*IFERROR($E$5:$E$80*1,0))))),0),0)</f>
        <v/>
      </c>
      <c r="Q5" s="21">
        <f>IF($N5="SI",ROUND($L5+$M5+$O5+$P5,4),0)</f>
        <v/>
      </c>
      <c r="R5" s="21">
        <f>IF($A5="","",IF(IFERROR(VALUE($D5),0)&lt;&gt;1,"Non attiva",IF(OR(IFERROR(VALUE($J5),0)&lt;&gt;1,IFERROR(VALUE($K5),0)&lt;&gt;1),"Singoli non attivi",IF(OR(IFERROR(VALUE($L5),0)&lt;Parametri!$B$2,IFERROR(VALUE($M5),0)&lt;Parametri!$B$2),"Soglia non superata",IF(OR(IFERROR(VALUE($F5),0)&lt;&gt;1,IFERROR(VALUE($G5),0)&lt;&gt;1),"Buste/PEF non confermati",IF(IFERROR(VALUE($E5),0)&lt;=$U5,"Ribasso non migliorativo",""))))))</f>
        <v/>
      </c>
      <c r="S5" s="21">
        <f>IF($H5="","",IFERROR(INDEX(Offerte!$F$2:$F$200,MATCH($A5&amp;"|"&amp;$H5,Offerte!$L$2:$L$200,0)),0))</f>
        <v/>
      </c>
      <c r="T5" s="21">
        <f>IF($I5="","",IFERROR(INDEX(Offerte!$F$2:$F$200,MATCH($A5&amp;"|"&amp;$I5,Offerte!$L$2:$L$200,0)),0))</f>
        <v/>
      </c>
      <c r="U5" s="21">
        <f>IF($A5="","",ROUND((IFERROR(VALUE($S5),0)+IFERROR(VALUE($T5),0))/2,4))</f>
        <v/>
      </c>
      <c r="V5" s="21">
        <f>IF($A5="","",$C5&amp;"|"&amp;TEXT($Q5,"0.0000"))</f>
        <v/>
      </c>
      <c r="W5" s="21">
        <f>IF($A5="","",$C5&amp;"|"&amp;$A5)</f>
        <v/>
      </c>
    </row>
    <row r="6">
      <c r="A6" s="20" t="inlineStr">
        <is>
          <t>B1</t>
        </is>
      </c>
      <c r="B6" s="20">
        <f>IF($A6="","",IFERROR(INDEX(Offerte!$B$2:$B$200,MATCH($A6,Offerte!$A$2:$A$200,0)),""))</f>
        <v/>
      </c>
      <c r="C6" s="20" t="inlineStr">
        <is>
          <t>L2+L3</t>
        </is>
      </c>
      <c r="D6" s="20" t="n">
        <v>0</v>
      </c>
      <c r="E6" s="20" t="n">
        <v>2.7</v>
      </c>
      <c r="F6" s="20" t="n">
        <v>1</v>
      </c>
      <c r="G6" s="20" t="n">
        <v>1</v>
      </c>
      <c r="H6" s="21">
        <f>IF($C6="L1+L2","L1",IF($C6="L2+L3","L2",IF($C6="L3+L4","L3",IF($C6="L1+L4","L1",""))))</f>
        <v/>
      </c>
      <c r="I6" s="21">
        <f>IF($C6="L1+L2","L2",IF($C6="L2+L3","L3",IF($C6="L3+L4","L4",IF($C6="L1+L4","L4",""))))</f>
        <v/>
      </c>
      <c r="J6" s="21">
        <f>IF($H6="","",IFERROR(INDEX(Offerte!$D$2:$D$200,MATCH($A6&amp;"|"&amp;$H6,Offerte!$L$2:$L$200,0)),0))</f>
        <v/>
      </c>
      <c r="K6" s="21">
        <f>IF($I6="","",IFERROR(INDEX(Offerte!$D$2:$D$200,MATCH($A6&amp;"|"&amp;$I6,Offerte!$L$2:$L$200,0)),0))</f>
        <v/>
      </c>
      <c r="L6" s="21">
        <f>IF($H6="","",IFERROR(INDEX(Offerte!$E$2:$E$200,MATCH($A6&amp;"|"&amp;$H6,Offerte!$L$2:$L$200,0)),0))</f>
        <v/>
      </c>
      <c r="M6" s="21">
        <f>IF($I6="","",IFERROR(INDEX(Offerte!$E$2:$E$200,MATCH($A6&amp;"|"&amp;$I6,Offerte!$L$2:$L$200,0)),0))</f>
        <v/>
      </c>
      <c r="N6" s="21">
        <f>IF($A6="","",IF(IFERROR(VALUE($D6),0)&lt;&gt;1,"NO",IF(AND(IFERROR(VALUE($J6),0)=1,IFERROR(VALUE($K6),0)=1,IFERROR(VALUE($L6),0)&gt;=Parametri!$B$2,IFERROR(VALUE($M6),0)&gt;=Parametri!$B$2,IFERROR(VALUE($F6),0)=1,IFERROR(VALUE($G6),0)=1,IFERROR(VALUE($E6),0)&gt;$U6),"SI","NO")))</f>
        <v/>
      </c>
      <c r="O6" s="21">
        <f>IF($N6="SI",IFERROR(30*(IFERROR(VALUE($E6),0)/MAX(SUMPRODUCT(MAX((Offerte!$C$2:$C$200=$H6)*(IFERROR(Offerte!$D$2:$D$200*1,0)=1)*(IFERROR(Offerte!$E$2:$E$200*1,0)&gt;=Parametri!$B$2)*IFERROR(Offerte!$F$2:$F$200*1,0))),SUMPRODUCT(MAX(($H$5:$H$80=$H6)*($N$5:$N$80="SI")*IFERROR($E$5:$E$80*1,0))),SUMPRODUCT(MAX(($I$5:$I$80=$H6)*($N$5:$N$80="SI")*IFERROR($E$5:$E$80*1,0))))),0),0)</f>
        <v/>
      </c>
      <c r="P6" s="21">
        <f>IF($N6="SI",IFERROR(30*(IFERROR(VALUE($E6),0)/MAX(SUMPRODUCT(MAX((Offerte!$C$2:$C$200=$I6)*(IFERROR(Offerte!$D$2:$D$200*1,0)=1)*(IFERROR(Offerte!$E$2:$E$200*1,0)&gt;=Parametri!$B$2)*IFERROR(Offerte!$F$2:$F$200*1,0))),SUMPRODUCT(MAX(($H$5:$H$80=$I6)*($N$5:$N$80="SI")*IFERROR($E$5:$E$80*1,0))),SUMPRODUCT(MAX(($I$5:$I$80=$I6)*($N$5:$N$80="SI")*IFERROR($E$5:$E$80*1,0))))),0),0)</f>
        <v/>
      </c>
      <c r="Q6" s="21">
        <f>IF($N6="SI",ROUND($L6+$M6+$O6+$P6,4),0)</f>
        <v/>
      </c>
      <c r="R6" s="21">
        <f>IF($A6="","",IF(IFERROR(VALUE($D6),0)&lt;&gt;1,"Non attiva",IF(OR(IFERROR(VALUE($J6),0)&lt;&gt;1,IFERROR(VALUE($K6),0)&lt;&gt;1),"Singoli non attivi",IF(OR(IFERROR(VALUE($L6),0)&lt;Parametri!$B$2,IFERROR(VALUE($M6),0)&lt;Parametri!$B$2),"Soglia non superata",IF(OR(IFERROR(VALUE($F6),0)&lt;&gt;1,IFERROR(VALUE($G6),0)&lt;&gt;1),"Buste/PEF non confermati",IF(IFERROR(VALUE($E6),0)&lt;=$U6,"Ribasso non migliorativo",""))))))</f>
        <v/>
      </c>
      <c r="S6" s="21">
        <f>IF($H6="","",IFERROR(INDEX(Offerte!$F$2:$F$200,MATCH($A6&amp;"|"&amp;$H6,Offerte!$L$2:$L$200,0)),0))</f>
        <v/>
      </c>
      <c r="T6" s="21">
        <f>IF($I6="","",IFERROR(INDEX(Offerte!$F$2:$F$200,MATCH($A6&amp;"|"&amp;$I6,Offerte!$L$2:$L$200,0)),0))</f>
        <v/>
      </c>
      <c r="U6" s="21">
        <f>IF($A6="","",ROUND((IFERROR(VALUE($S6),0)+IFERROR(VALUE($T6),0))/2,4))</f>
        <v/>
      </c>
      <c r="V6" s="21">
        <f>IF($A6="","",$C6&amp;"|"&amp;TEXT($Q6,"0.0000"))</f>
        <v/>
      </c>
      <c r="W6" s="21">
        <f>IF($A6="","",$C6&amp;"|"&amp;$A6)</f>
        <v/>
      </c>
    </row>
    <row r="7">
      <c r="A7" s="20" t="inlineStr">
        <is>
          <t>B1</t>
        </is>
      </c>
      <c r="B7" s="20">
        <f>IF($A7="","",IFERROR(INDEX(Offerte!$B$2:$B$200,MATCH($A7,Offerte!$A$2:$A$200,0)),""))</f>
        <v/>
      </c>
      <c r="C7" s="20" t="inlineStr">
        <is>
          <t>L3+L4</t>
        </is>
      </c>
      <c r="D7" s="20" t="n">
        <v>0</v>
      </c>
      <c r="E7" s="20" t="n">
        <v>2.45</v>
      </c>
      <c r="F7" s="20" t="n">
        <v>1</v>
      </c>
      <c r="G7" s="20" t="n">
        <v>1</v>
      </c>
      <c r="H7" s="21">
        <f>IF($C7="L1+L2","L1",IF($C7="L2+L3","L2",IF($C7="L3+L4","L3",IF($C7="L1+L4","L1",""))))</f>
        <v/>
      </c>
      <c r="I7" s="21">
        <f>IF($C7="L1+L2","L2",IF($C7="L2+L3","L3",IF($C7="L3+L4","L4",IF($C7="L1+L4","L4",""))))</f>
        <v/>
      </c>
      <c r="J7" s="21">
        <f>IF($H7="","",IFERROR(INDEX(Offerte!$D$2:$D$200,MATCH($A7&amp;"|"&amp;$H7,Offerte!$L$2:$L$200,0)),0))</f>
        <v/>
      </c>
      <c r="K7" s="21">
        <f>IF($I7="","",IFERROR(INDEX(Offerte!$D$2:$D$200,MATCH($A7&amp;"|"&amp;$I7,Offerte!$L$2:$L$200,0)),0))</f>
        <v/>
      </c>
      <c r="L7" s="21">
        <f>IF($H7="","",IFERROR(INDEX(Offerte!$E$2:$E$200,MATCH($A7&amp;"|"&amp;$H7,Offerte!$L$2:$L$200,0)),0))</f>
        <v/>
      </c>
      <c r="M7" s="21">
        <f>IF($I7="","",IFERROR(INDEX(Offerte!$E$2:$E$200,MATCH($A7&amp;"|"&amp;$I7,Offerte!$L$2:$L$200,0)),0))</f>
        <v/>
      </c>
      <c r="N7" s="21">
        <f>IF($A7="","",IF(IFERROR(VALUE($D7),0)&lt;&gt;1,"NO",IF(AND(IFERROR(VALUE($J7),0)=1,IFERROR(VALUE($K7),0)=1,IFERROR(VALUE($L7),0)&gt;=Parametri!$B$2,IFERROR(VALUE($M7),0)&gt;=Parametri!$B$2,IFERROR(VALUE($F7),0)=1,IFERROR(VALUE($G7),0)=1,IFERROR(VALUE($E7),0)&gt;$U7),"SI","NO")))</f>
        <v/>
      </c>
      <c r="O7" s="21">
        <f>IF($N7="SI",IFERROR(30*(IFERROR(VALUE($E7),0)/MAX(SUMPRODUCT(MAX((Offerte!$C$2:$C$200=$H7)*(IFERROR(Offerte!$D$2:$D$200*1,0)=1)*(IFERROR(Offerte!$E$2:$E$200*1,0)&gt;=Parametri!$B$2)*IFERROR(Offerte!$F$2:$F$200*1,0))),SUMPRODUCT(MAX(($H$5:$H$80=$H7)*($N$5:$N$80="SI")*IFERROR($E$5:$E$80*1,0))),SUMPRODUCT(MAX(($I$5:$I$80=$H7)*($N$5:$N$80="SI")*IFERROR($E$5:$E$80*1,0))))),0),0)</f>
        <v/>
      </c>
      <c r="P7" s="21">
        <f>IF($N7="SI",IFERROR(30*(IFERROR(VALUE($E7),0)/MAX(SUMPRODUCT(MAX((Offerte!$C$2:$C$200=$I7)*(IFERROR(Offerte!$D$2:$D$200*1,0)=1)*(IFERROR(Offerte!$E$2:$E$200*1,0)&gt;=Parametri!$B$2)*IFERROR(Offerte!$F$2:$F$200*1,0))),SUMPRODUCT(MAX(($H$5:$H$80=$I7)*($N$5:$N$80="SI")*IFERROR($E$5:$E$80*1,0))),SUMPRODUCT(MAX(($I$5:$I$80=$I7)*($N$5:$N$80="SI")*IFERROR($E$5:$E$80*1,0))))),0),0)</f>
        <v/>
      </c>
      <c r="Q7" s="21">
        <f>IF($N7="SI",ROUND($L7+$M7+$O7+$P7,4),0)</f>
        <v/>
      </c>
      <c r="R7" s="21">
        <f>IF($A7="","",IF(IFERROR(VALUE($D7),0)&lt;&gt;1,"Non attiva",IF(OR(IFERROR(VALUE($J7),0)&lt;&gt;1,IFERROR(VALUE($K7),0)&lt;&gt;1),"Singoli non attivi",IF(OR(IFERROR(VALUE($L7),0)&lt;Parametri!$B$2,IFERROR(VALUE($M7),0)&lt;Parametri!$B$2),"Soglia non superata",IF(OR(IFERROR(VALUE($F7),0)&lt;&gt;1,IFERROR(VALUE($G7),0)&lt;&gt;1),"Buste/PEF non confermati",IF(IFERROR(VALUE($E7),0)&lt;=$U7,"Ribasso non migliorativo",""))))))</f>
        <v/>
      </c>
      <c r="S7" s="21">
        <f>IF($H7="","",IFERROR(INDEX(Offerte!$F$2:$F$200,MATCH($A7&amp;"|"&amp;$H7,Offerte!$L$2:$L$200,0)),0))</f>
        <v/>
      </c>
      <c r="T7" s="21">
        <f>IF($I7="","",IFERROR(INDEX(Offerte!$F$2:$F$200,MATCH($A7&amp;"|"&amp;$I7,Offerte!$L$2:$L$200,0)),0))</f>
        <v/>
      </c>
      <c r="U7" s="21">
        <f>IF($A7="","",ROUND((IFERROR(VALUE($S7),0)+IFERROR(VALUE($T7),0))/2,4))</f>
        <v/>
      </c>
      <c r="V7" s="21">
        <f>IF($A7="","",$C7&amp;"|"&amp;TEXT($Q7,"0.0000"))</f>
        <v/>
      </c>
      <c r="W7" s="21">
        <f>IF($A7="","",$C7&amp;"|"&amp;$A7)</f>
        <v/>
      </c>
    </row>
    <row r="8">
      <c r="A8" s="20" t="inlineStr">
        <is>
          <t>B1</t>
        </is>
      </c>
      <c r="B8" s="20">
        <f>IF($A8="","",IFERROR(INDEX(Offerte!$B$2:$B$200,MATCH($A8,Offerte!$A$2:$A$200,0)),""))</f>
        <v/>
      </c>
      <c r="C8" s="20" t="inlineStr">
        <is>
          <t>L1+L4</t>
        </is>
      </c>
      <c r="D8" s="20" t="n">
        <v>0</v>
      </c>
      <c r="E8" s="20" t="n">
        <v>5.5</v>
      </c>
      <c r="F8" s="20" t="n">
        <v>1</v>
      </c>
      <c r="G8" s="20" t="n">
        <v>1</v>
      </c>
      <c r="H8" s="21">
        <f>IF($C8="L1+L2","L1",IF($C8="L2+L3","L2",IF($C8="L3+L4","L3",IF($C8="L1+L4","L1",""))))</f>
        <v/>
      </c>
      <c r="I8" s="21">
        <f>IF($C8="L1+L2","L2",IF($C8="L2+L3","L3",IF($C8="L3+L4","L4",IF($C8="L1+L4","L4",""))))</f>
        <v/>
      </c>
      <c r="J8" s="21">
        <f>IF($H8="","",IFERROR(INDEX(Offerte!$D$2:$D$200,MATCH($A8&amp;"|"&amp;$H8,Offerte!$L$2:$L$200,0)),0))</f>
        <v/>
      </c>
      <c r="K8" s="21">
        <f>IF($I8="","",IFERROR(INDEX(Offerte!$D$2:$D$200,MATCH($A8&amp;"|"&amp;$I8,Offerte!$L$2:$L$200,0)),0))</f>
        <v/>
      </c>
      <c r="L8" s="21">
        <f>IF($H8="","",IFERROR(INDEX(Offerte!$E$2:$E$200,MATCH($A8&amp;"|"&amp;$H8,Offerte!$L$2:$L$200,0)),0))</f>
        <v/>
      </c>
      <c r="M8" s="21">
        <f>IF($I8="","",IFERROR(INDEX(Offerte!$E$2:$E$200,MATCH($A8&amp;"|"&amp;$I8,Offerte!$L$2:$L$200,0)),0))</f>
        <v/>
      </c>
      <c r="N8" s="21">
        <f>IF($A8="","",IF(IFERROR(VALUE($D8),0)&lt;&gt;1,"NO",IF(AND(IFERROR(VALUE($J8),0)=1,IFERROR(VALUE($K8),0)=1,IFERROR(VALUE($L8),0)&gt;=Parametri!$B$2,IFERROR(VALUE($M8),0)&gt;=Parametri!$B$2,IFERROR(VALUE($F8),0)=1,IFERROR(VALUE($G8),0)=1,IFERROR(VALUE($E8),0)&gt;$U8),"SI","NO")))</f>
        <v/>
      </c>
      <c r="O8" s="21">
        <f>IF($N8="SI",IFERROR(30*(IFERROR(VALUE($E8),0)/MAX(SUMPRODUCT(MAX((Offerte!$C$2:$C$200=$H8)*(IFERROR(Offerte!$D$2:$D$200*1,0)=1)*(IFERROR(Offerte!$E$2:$E$200*1,0)&gt;=Parametri!$B$2)*IFERROR(Offerte!$F$2:$F$200*1,0))),SUMPRODUCT(MAX(($H$5:$H$80=$H8)*($N$5:$N$80="SI")*IFERROR($E$5:$E$80*1,0))),SUMPRODUCT(MAX(($I$5:$I$80=$H8)*($N$5:$N$80="SI")*IFERROR($E$5:$E$80*1,0))))),0),0)</f>
        <v/>
      </c>
      <c r="P8" s="21">
        <f>IF($N8="SI",IFERROR(30*(IFERROR(VALUE($E8),0)/MAX(SUMPRODUCT(MAX((Offerte!$C$2:$C$200=$I8)*(IFERROR(Offerte!$D$2:$D$200*1,0)=1)*(IFERROR(Offerte!$E$2:$E$200*1,0)&gt;=Parametri!$B$2)*IFERROR(Offerte!$F$2:$F$200*1,0))),SUMPRODUCT(MAX(($H$5:$H$80=$I8)*($N$5:$N$80="SI")*IFERROR($E$5:$E$80*1,0))),SUMPRODUCT(MAX(($I$5:$I$80=$I8)*($N$5:$N$80="SI")*IFERROR($E$5:$E$80*1,0))))),0),0)</f>
        <v/>
      </c>
      <c r="Q8" s="21">
        <f>IF($N8="SI",ROUND($L8+$M8+$O8+$P8,4),0)</f>
        <v/>
      </c>
      <c r="R8" s="21">
        <f>IF($A8="","",IF(IFERROR(VALUE($D8),0)&lt;&gt;1,"Non attiva",IF(OR(IFERROR(VALUE($J8),0)&lt;&gt;1,IFERROR(VALUE($K8),0)&lt;&gt;1),"Singoli non attivi",IF(OR(IFERROR(VALUE($L8),0)&lt;Parametri!$B$2,IFERROR(VALUE($M8),0)&lt;Parametri!$B$2),"Soglia non superata",IF(OR(IFERROR(VALUE($F8),0)&lt;&gt;1,IFERROR(VALUE($G8),0)&lt;&gt;1),"Buste/PEF non confermati",IF(IFERROR(VALUE($E8),0)&lt;=$U8,"Ribasso non migliorativo",""))))))</f>
        <v/>
      </c>
      <c r="S8" s="21">
        <f>IF($H8="","",IFERROR(INDEX(Offerte!$F$2:$F$200,MATCH($A8&amp;"|"&amp;$H8,Offerte!$L$2:$L$200,0)),0))</f>
        <v/>
      </c>
      <c r="T8" s="21">
        <f>IF($I8="","",IFERROR(INDEX(Offerte!$F$2:$F$200,MATCH($A8&amp;"|"&amp;$I8,Offerte!$L$2:$L$200,0)),0))</f>
        <v/>
      </c>
      <c r="U8" s="21">
        <f>IF($A8="","",ROUND((IFERROR(VALUE($S8),0)+IFERROR(VALUE($T8),0))/2,4))</f>
        <v/>
      </c>
      <c r="V8" s="21">
        <f>IF($A8="","",$C8&amp;"|"&amp;TEXT($Q8,"0.0000"))</f>
        <v/>
      </c>
      <c r="W8" s="21">
        <f>IF($A8="","",$C8&amp;"|"&amp;$A8)</f>
        <v/>
      </c>
    </row>
    <row r="9">
      <c r="A9" s="20" t="inlineStr">
        <is>
          <t>B2</t>
        </is>
      </c>
      <c r="B9" s="20">
        <f>IF($A9="","",IFERROR(INDEX(Offerte!$B$2:$B$200,MATCH($A9,Offerte!$A$2:$A$200,0)),""))</f>
        <v/>
      </c>
      <c r="C9" s="20" t="inlineStr">
        <is>
          <t>L1+L2</t>
        </is>
      </c>
      <c r="D9" s="20" t="n">
        <v>0</v>
      </c>
      <c r="E9" s="20" t="n">
        <v>6.2</v>
      </c>
      <c r="F9" s="20" t="n">
        <v>1</v>
      </c>
      <c r="G9" s="20" t="n">
        <v>1</v>
      </c>
      <c r="H9" s="21">
        <f>IF($C9="L1+L2","L1",IF($C9="L2+L3","L2",IF($C9="L3+L4","L3",IF($C9="L1+L4","L1",""))))</f>
        <v/>
      </c>
      <c r="I9" s="21">
        <f>IF($C9="L1+L2","L2",IF($C9="L2+L3","L3",IF($C9="L3+L4","L4",IF($C9="L1+L4","L4",""))))</f>
        <v/>
      </c>
      <c r="J9" s="21">
        <f>IF($H9="","",IFERROR(INDEX(Offerte!$D$2:$D$200,MATCH($A9&amp;"|"&amp;$H9,Offerte!$L$2:$L$200,0)),0))</f>
        <v/>
      </c>
      <c r="K9" s="21">
        <f>IF($I9="","",IFERROR(INDEX(Offerte!$D$2:$D$200,MATCH($A9&amp;"|"&amp;$I9,Offerte!$L$2:$L$200,0)),0))</f>
        <v/>
      </c>
      <c r="L9" s="21">
        <f>IF($H9="","",IFERROR(INDEX(Offerte!$E$2:$E$200,MATCH($A9&amp;"|"&amp;$H9,Offerte!$L$2:$L$200,0)),0))</f>
        <v/>
      </c>
      <c r="M9" s="21">
        <f>IF($I9="","",IFERROR(INDEX(Offerte!$E$2:$E$200,MATCH($A9&amp;"|"&amp;$I9,Offerte!$L$2:$L$200,0)),0))</f>
        <v/>
      </c>
      <c r="N9" s="21">
        <f>IF($A9="","",IF(IFERROR(VALUE($D9),0)&lt;&gt;1,"NO",IF(AND(IFERROR(VALUE($J9),0)=1,IFERROR(VALUE($K9),0)=1,IFERROR(VALUE($L9),0)&gt;=Parametri!$B$2,IFERROR(VALUE($M9),0)&gt;=Parametri!$B$2,IFERROR(VALUE($F9),0)=1,IFERROR(VALUE($G9),0)=1,IFERROR(VALUE($E9),0)&gt;$U9),"SI","NO")))</f>
        <v/>
      </c>
      <c r="O9" s="21">
        <f>IF($N9="SI",IFERROR(30*(IFERROR(VALUE($E9),0)/MAX(SUMPRODUCT(MAX((Offerte!$C$2:$C$200=$H9)*(IFERROR(Offerte!$D$2:$D$200*1,0)=1)*(IFERROR(Offerte!$E$2:$E$200*1,0)&gt;=Parametri!$B$2)*IFERROR(Offerte!$F$2:$F$200*1,0))),SUMPRODUCT(MAX(($H$5:$H$80=$H9)*($N$5:$N$80="SI")*IFERROR($E$5:$E$80*1,0))),SUMPRODUCT(MAX(($I$5:$I$80=$H9)*($N$5:$N$80="SI")*IFERROR($E$5:$E$80*1,0))))),0),0)</f>
        <v/>
      </c>
      <c r="P9" s="21">
        <f>IF($N9="SI",IFERROR(30*(IFERROR(VALUE($E9),0)/MAX(SUMPRODUCT(MAX((Offerte!$C$2:$C$200=$I9)*(IFERROR(Offerte!$D$2:$D$200*1,0)=1)*(IFERROR(Offerte!$E$2:$E$200*1,0)&gt;=Parametri!$B$2)*IFERROR(Offerte!$F$2:$F$200*1,0))),SUMPRODUCT(MAX(($H$5:$H$80=$I9)*($N$5:$N$80="SI")*IFERROR($E$5:$E$80*1,0))),SUMPRODUCT(MAX(($I$5:$I$80=$I9)*($N$5:$N$80="SI")*IFERROR($E$5:$E$80*1,0))))),0),0)</f>
        <v/>
      </c>
      <c r="Q9" s="21">
        <f>IF($N9="SI",ROUND($L9+$M9+$O9+$P9,4),0)</f>
        <v/>
      </c>
      <c r="R9" s="21">
        <f>IF($A9="","",IF(IFERROR(VALUE($D9),0)&lt;&gt;1,"Non attiva",IF(OR(IFERROR(VALUE($J9),0)&lt;&gt;1,IFERROR(VALUE($K9),0)&lt;&gt;1),"Singoli non attivi",IF(OR(IFERROR(VALUE($L9),0)&lt;Parametri!$B$2,IFERROR(VALUE($M9),0)&lt;Parametri!$B$2),"Soglia non superata",IF(OR(IFERROR(VALUE($F9),0)&lt;&gt;1,IFERROR(VALUE($G9),0)&lt;&gt;1),"Buste/PEF non confermati",IF(IFERROR(VALUE($E9),0)&lt;=$U9,"Ribasso non migliorativo",""))))))</f>
        <v/>
      </c>
      <c r="S9" s="21">
        <f>IF($H9="","",IFERROR(INDEX(Offerte!$F$2:$F$200,MATCH($A9&amp;"|"&amp;$H9,Offerte!$L$2:$L$200,0)),0))</f>
        <v/>
      </c>
      <c r="T9" s="21">
        <f>IF($I9="","",IFERROR(INDEX(Offerte!$F$2:$F$200,MATCH($A9&amp;"|"&amp;$I9,Offerte!$L$2:$L$200,0)),0))</f>
        <v/>
      </c>
      <c r="U9" s="21">
        <f>IF($A9="","",ROUND((IFERROR(VALUE($S9),0)+IFERROR(VALUE($T9),0))/2,4))</f>
        <v/>
      </c>
      <c r="V9" s="21">
        <f>IF($A9="","",$C9&amp;"|"&amp;TEXT($Q9,"0.0000"))</f>
        <v/>
      </c>
      <c r="W9" s="21">
        <f>IF($A9="","",$C9&amp;"|"&amp;$A9)</f>
        <v/>
      </c>
    </row>
    <row r="10">
      <c r="A10" s="20" t="inlineStr">
        <is>
          <t>B2</t>
        </is>
      </c>
      <c r="B10" s="20">
        <f>IF($A10="","",IFERROR(INDEX(Offerte!$B$2:$B$200,MATCH($A10,Offerte!$A$2:$A$200,0)),""))</f>
        <v/>
      </c>
      <c r="C10" s="20" t="inlineStr">
        <is>
          <t>L2+L3</t>
        </is>
      </c>
      <c r="D10" s="20" t="n">
        <v>0</v>
      </c>
      <c r="E10" s="20" t="n">
        <v>5.55</v>
      </c>
      <c r="F10" s="20" t="n">
        <v>1</v>
      </c>
      <c r="G10" s="20" t="n">
        <v>1</v>
      </c>
      <c r="H10" s="21">
        <f>IF($C10="L1+L2","L1",IF($C10="L2+L3","L2",IF($C10="L3+L4","L3",IF($C10="L1+L4","L1",""))))</f>
        <v/>
      </c>
      <c r="I10" s="21">
        <f>IF($C10="L1+L2","L2",IF($C10="L2+L3","L3",IF($C10="L3+L4","L4",IF($C10="L1+L4","L4",""))))</f>
        <v/>
      </c>
      <c r="J10" s="21">
        <f>IF($H10="","",IFERROR(INDEX(Offerte!$D$2:$D$200,MATCH($A10&amp;"|"&amp;$H10,Offerte!$L$2:$L$200,0)),0))</f>
        <v/>
      </c>
      <c r="K10" s="21">
        <f>IF($I10="","",IFERROR(INDEX(Offerte!$D$2:$D$200,MATCH($A10&amp;"|"&amp;$I10,Offerte!$L$2:$L$200,0)),0))</f>
        <v/>
      </c>
      <c r="L10" s="21">
        <f>IF($H10="","",IFERROR(INDEX(Offerte!$E$2:$E$200,MATCH($A10&amp;"|"&amp;$H10,Offerte!$L$2:$L$200,0)),0))</f>
        <v/>
      </c>
      <c r="M10" s="21">
        <f>IF($I10="","",IFERROR(INDEX(Offerte!$E$2:$E$200,MATCH($A10&amp;"|"&amp;$I10,Offerte!$L$2:$L$200,0)),0))</f>
        <v/>
      </c>
      <c r="N10" s="21">
        <f>IF($A10="","",IF(IFERROR(VALUE($D10),0)&lt;&gt;1,"NO",IF(AND(IFERROR(VALUE($J10),0)=1,IFERROR(VALUE($K10),0)=1,IFERROR(VALUE($L10),0)&gt;=Parametri!$B$2,IFERROR(VALUE($M10),0)&gt;=Parametri!$B$2,IFERROR(VALUE($F10),0)=1,IFERROR(VALUE($G10),0)=1,IFERROR(VALUE($E10),0)&gt;$U10),"SI","NO")))</f>
        <v/>
      </c>
      <c r="O10" s="21">
        <f>IF($N10="SI",IFERROR(30*(IFERROR(VALUE($E10),0)/MAX(SUMPRODUCT(MAX((Offerte!$C$2:$C$200=$H10)*(IFERROR(Offerte!$D$2:$D$200*1,0)=1)*(IFERROR(Offerte!$E$2:$E$200*1,0)&gt;=Parametri!$B$2)*IFERROR(Offerte!$F$2:$F$200*1,0))),SUMPRODUCT(MAX(($H$5:$H$80=$H10)*($N$5:$N$80="SI")*IFERROR($E$5:$E$80*1,0))),SUMPRODUCT(MAX(($I$5:$I$80=$H10)*($N$5:$N$80="SI")*IFERROR($E$5:$E$80*1,0))))),0),0)</f>
        <v/>
      </c>
      <c r="P10" s="21">
        <f>IF($N10="SI",IFERROR(30*(IFERROR(VALUE($E10),0)/MAX(SUMPRODUCT(MAX((Offerte!$C$2:$C$200=$I10)*(IFERROR(Offerte!$D$2:$D$200*1,0)=1)*(IFERROR(Offerte!$E$2:$E$200*1,0)&gt;=Parametri!$B$2)*IFERROR(Offerte!$F$2:$F$200*1,0))),SUMPRODUCT(MAX(($H$5:$H$80=$I10)*($N$5:$N$80="SI")*IFERROR($E$5:$E$80*1,0))),SUMPRODUCT(MAX(($I$5:$I$80=$I10)*($N$5:$N$80="SI")*IFERROR($E$5:$E$80*1,0))))),0),0)</f>
        <v/>
      </c>
      <c r="Q10" s="21">
        <f>IF($N10="SI",ROUND($L10+$M10+$O10+$P10,4),0)</f>
        <v/>
      </c>
      <c r="R10" s="21">
        <f>IF($A10="","",IF(IFERROR(VALUE($D10),0)&lt;&gt;1,"Non attiva",IF(OR(IFERROR(VALUE($J10),0)&lt;&gt;1,IFERROR(VALUE($K10),0)&lt;&gt;1),"Singoli non attivi",IF(OR(IFERROR(VALUE($L10),0)&lt;Parametri!$B$2,IFERROR(VALUE($M10),0)&lt;Parametri!$B$2),"Soglia non superata",IF(OR(IFERROR(VALUE($F10),0)&lt;&gt;1,IFERROR(VALUE($G10),0)&lt;&gt;1),"Buste/PEF non confermati",IF(IFERROR(VALUE($E10),0)&lt;=$U10,"Ribasso non migliorativo",""))))))</f>
        <v/>
      </c>
      <c r="S10" s="21">
        <f>IF($H10="","",IFERROR(INDEX(Offerte!$F$2:$F$200,MATCH($A10&amp;"|"&amp;$H10,Offerte!$L$2:$L$200,0)),0))</f>
        <v/>
      </c>
      <c r="T10" s="21">
        <f>IF($I10="","",IFERROR(INDEX(Offerte!$F$2:$F$200,MATCH($A10&amp;"|"&amp;$I10,Offerte!$L$2:$L$200,0)),0))</f>
        <v/>
      </c>
      <c r="U10" s="21">
        <f>IF($A10="","",ROUND((IFERROR(VALUE($S10),0)+IFERROR(VALUE($T10),0))/2,4))</f>
        <v/>
      </c>
      <c r="V10" s="21">
        <f>IF($A10="","",$C10&amp;"|"&amp;TEXT($Q10,"0.0000"))</f>
        <v/>
      </c>
      <c r="W10" s="21">
        <f>IF($A10="","",$C10&amp;"|"&amp;$A10)</f>
        <v/>
      </c>
    </row>
    <row r="11">
      <c r="A11" s="20" t="inlineStr">
        <is>
          <t>B2</t>
        </is>
      </c>
      <c r="B11" s="20">
        <f>IF($A11="","",IFERROR(INDEX(Offerte!$B$2:$B$200,MATCH($A11,Offerte!$A$2:$A$200,0)),""))</f>
        <v/>
      </c>
      <c r="C11" s="20" t="inlineStr">
        <is>
          <t>L3+L4</t>
        </is>
      </c>
      <c r="D11" s="20" t="n">
        <v>0</v>
      </c>
      <c r="E11" s="20" t="n">
        <v>5.1</v>
      </c>
      <c r="F11" s="20" t="n">
        <v>1</v>
      </c>
      <c r="G11" s="20" t="n">
        <v>1</v>
      </c>
      <c r="H11" s="21">
        <f>IF($C11="L1+L2","L1",IF($C11="L2+L3","L2",IF($C11="L3+L4","L3",IF($C11="L1+L4","L1",""))))</f>
        <v/>
      </c>
      <c r="I11" s="21">
        <f>IF($C11="L1+L2","L2",IF($C11="L2+L3","L3",IF($C11="L3+L4","L4",IF($C11="L1+L4","L4",""))))</f>
        <v/>
      </c>
      <c r="J11" s="21">
        <f>IF($H11="","",IFERROR(INDEX(Offerte!$D$2:$D$200,MATCH($A11&amp;"|"&amp;$H11,Offerte!$L$2:$L$200,0)),0))</f>
        <v/>
      </c>
      <c r="K11" s="21">
        <f>IF($I11="","",IFERROR(INDEX(Offerte!$D$2:$D$200,MATCH($A11&amp;"|"&amp;$I11,Offerte!$L$2:$L$200,0)),0))</f>
        <v/>
      </c>
      <c r="L11" s="21">
        <f>IF($H11="","",IFERROR(INDEX(Offerte!$E$2:$E$200,MATCH($A11&amp;"|"&amp;$H11,Offerte!$L$2:$L$200,0)),0))</f>
        <v/>
      </c>
      <c r="M11" s="21">
        <f>IF($I11="","",IFERROR(INDEX(Offerte!$E$2:$E$200,MATCH($A11&amp;"|"&amp;$I11,Offerte!$L$2:$L$200,0)),0))</f>
        <v/>
      </c>
      <c r="N11" s="21">
        <f>IF($A11="","",IF(IFERROR(VALUE($D11),0)&lt;&gt;1,"NO",IF(AND(IFERROR(VALUE($J11),0)=1,IFERROR(VALUE($K11),0)=1,IFERROR(VALUE($L11),0)&gt;=Parametri!$B$2,IFERROR(VALUE($M11),0)&gt;=Parametri!$B$2,IFERROR(VALUE($F11),0)=1,IFERROR(VALUE($G11),0)=1,IFERROR(VALUE($E11),0)&gt;$U11),"SI","NO")))</f>
        <v/>
      </c>
      <c r="O11" s="21">
        <f>IF($N11="SI",IFERROR(30*(IFERROR(VALUE($E11),0)/MAX(SUMPRODUCT(MAX((Offerte!$C$2:$C$200=$H11)*(IFERROR(Offerte!$D$2:$D$200*1,0)=1)*(IFERROR(Offerte!$E$2:$E$200*1,0)&gt;=Parametri!$B$2)*IFERROR(Offerte!$F$2:$F$200*1,0))),SUMPRODUCT(MAX(($H$5:$H$80=$H11)*($N$5:$N$80="SI")*IFERROR($E$5:$E$80*1,0))),SUMPRODUCT(MAX(($I$5:$I$80=$H11)*($N$5:$N$80="SI")*IFERROR($E$5:$E$80*1,0))))),0),0)</f>
        <v/>
      </c>
      <c r="P11" s="21">
        <f>IF($N11="SI",IFERROR(30*(IFERROR(VALUE($E11),0)/MAX(SUMPRODUCT(MAX((Offerte!$C$2:$C$200=$I11)*(IFERROR(Offerte!$D$2:$D$200*1,0)=1)*(IFERROR(Offerte!$E$2:$E$200*1,0)&gt;=Parametri!$B$2)*IFERROR(Offerte!$F$2:$F$200*1,0))),SUMPRODUCT(MAX(($H$5:$H$80=$I11)*($N$5:$N$80="SI")*IFERROR($E$5:$E$80*1,0))),SUMPRODUCT(MAX(($I$5:$I$80=$I11)*($N$5:$N$80="SI")*IFERROR($E$5:$E$80*1,0))))),0),0)</f>
        <v/>
      </c>
      <c r="Q11" s="21">
        <f>IF($N11="SI",ROUND($L11+$M11+$O11+$P11,4),0)</f>
        <v/>
      </c>
      <c r="R11" s="21">
        <f>IF($A11="","",IF(IFERROR(VALUE($D11),0)&lt;&gt;1,"Non attiva",IF(OR(IFERROR(VALUE($J11),0)&lt;&gt;1,IFERROR(VALUE($K11),0)&lt;&gt;1),"Singoli non attivi",IF(OR(IFERROR(VALUE($L11),0)&lt;Parametri!$B$2,IFERROR(VALUE($M11),0)&lt;Parametri!$B$2),"Soglia non superata",IF(OR(IFERROR(VALUE($F11),0)&lt;&gt;1,IFERROR(VALUE($G11),0)&lt;&gt;1),"Buste/PEF non confermati",IF(IFERROR(VALUE($E11),0)&lt;=$U11,"Ribasso non migliorativo",""))))))</f>
        <v/>
      </c>
      <c r="S11" s="21">
        <f>IF($H11="","",IFERROR(INDEX(Offerte!$F$2:$F$200,MATCH($A11&amp;"|"&amp;$H11,Offerte!$L$2:$L$200,0)),0))</f>
        <v/>
      </c>
      <c r="T11" s="21">
        <f>IF($I11="","",IFERROR(INDEX(Offerte!$F$2:$F$200,MATCH($A11&amp;"|"&amp;$I11,Offerte!$L$2:$L$200,0)),0))</f>
        <v/>
      </c>
      <c r="U11" s="21">
        <f>IF($A11="","",ROUND((IFERROR(VALUE($S11),0)+IFERROR(VALUE($T11),0))/2,4))</f>
        <v/>
      </c>
      <c r="V11" s="21">
        <f>IF($A11="","",$C11&amp;"|"&amp;TEXT($Q11,"0.0000"))</f>
        <v/>
      </c>
      <c r="W11" s="21">
        <f>IF($A11="","",$C11&amp;"|"&amp;$A11)</f>
        <v/>
      </c>
    </row>
    <row r="12">
      <c r="A12" s="20" t="inlineStr">
        <is>
          <t>B2</t>
        </is>
      </c>
      <c r="B12" s="20">
        <f>IF($A12="","",IFERROR(INDEX(Offerte!$B$2:$B$200,MATCH($A12,Offerte!$A$2:$A$200,0)),""))</f>
        <v/>
      </c>
      <c r="C12" s="20" t="inlineStr">
        <is>
          <t>L1+L4</t>
        </is>
      </c>
      <c r="D12" s="20" t="n">
        <v>0</v>
      </c>
      <c r="E12" s="20" t="n">
        <v>5.75</v>
      </c>
      <c r="F12" s="20" t="n">
        <v>1</v>
      </c>
      <c r="G12" s="20" t="n">
        <v>1</v>
      </c>
      <c r="H12" s="21">
        <f>IF($C12="L1+L2","L1",IF($C12="L2+L3","L2",IF($C12="L3+L4","L3",IF($C12="L1+L4","L1",""))))</f>
        <v/>
      </c>
      <c r="I12" s="21">
        <f>IF($C12="L1+L2","L2",IF($C12="L2+L3","L3",IF($C12="L3+L4","L4",IF($C12="L1+L4","L4",""))))</f>
        <v/>
      </c>
      <c r="J12" s="21">
        <f>IF($H12="","",IFERROR(INDEX(Offerte!$D$2:$D$200,MATCH($A12&amp;"|"&amp;$H12,Offerte!$L$2:$L$200,0)),0))</f>
        <v/>
      </c>
      <c r="K12" s="21">
        <f>IF($I12="","",IFERROR(INDEX(Offerte!$D$2:$D$200,MATCH($A12&amp;"|"&amp;$I12,Offerte!$L$2:$L$200,0)),0))</f>
        <v/>
      </c>
      <c r="L12" s="21">
        <f>IF($H12="","",IFERROR(INDEX(Offerte!$E$2:$E$200,MATCH($A12&amp;"|"&amp;$H12,Offerte!$L$2:$L$200,0)),0))</f>
        <v/>
      </c>
      <c r="M12" s="21">
        <f>IF($I12="","",IFERROR(INDEX(Offerte!$E$2:$E$200,MATCH($A12&amp;"|"&amp;$I12,Offerte!$L$2:$L$200,0)),0))</f>
        <v/>
      </c>
      <c r="N12" s="21">
        <f>IF($A12="","",IF(IFERROR(VALUE($D12),0)&lt;&gt;1,"NO",IF(AND(IFERROR(VALUE($J12),0)=1,IFERROR(VALUE($K12),0)=1,IFERROR(VALUE($L12),0)&gt;=Parametri!$B$2,IFERROR(VALUE($M12),0)&gt;=Parametri!$B$2,IFERROR(VALUE($F12),0)=1,IFERROR(VALUE($G12),0)=1,IFERROR(VALUE($E12),0)&gt;$U12),"SI","NO")))</f>
        <v/>
      </c>
      <c r="O12" s="21">
        <f>IF($N12="SI",IFERROR(30*(IFERROR(VALUE($E12),0)/MAX(SUMPRODUCT(MAX((Offerte!$C$2:$C$200=$H12)*(IFERROR(Offerte!$D$2:$D$200*1,0)=1)*(IFERROR(Offerte!$E$2:$E$200*1,0)&gt;=Parametri!$B$2)*IFERROR(Offerte!$F$2:$F$200*1,0))),SUMPRODUCT(MAX(($H$5:$H$80=$H12)*($N$5:$N$80="SI")*IFERROR($E$5:$E$80*1,0))),SUMPRODUCT(MAX(($I$5:$I$80=$H12)*($N$5:$N$80="SI")*IFERROR($E$5:$E$80*1,0))))),0),0)</f>
        <v/>
      </c>
      <c r="P12" s="21">
        <f>IF($N12="SI",IFERROR(30*(IFERROR(VALUE($E12),0)/MAX(SUMPRODUCT(MAX((Offerte!$C$2:$C$200=$I12)*(IFERROR(Offerte!$D$2:$D$200*1,0)=1)*(IFERROR(Offerte!$E$2:$E$200*1,0)&gt;=Parametri!$B$2)*IFERROR(Offerte!$F$2:$F$200*1,0))),SUMPRODUCT(MAX(($H$5:$H$80=$I12)*($N$5:$N$80="SI")*IFERROR($E$5:$E$80*1,0))),SUMPRODUCT(MAX(($I$5:$I$80=$I12)*($N$5:$N$80="SI")*IFERROR($E$5:$E$80*1,0))))),0),0)</f>
        <v/>
      </c>
      <c r="Q12" s="21">
        <f>IF($N12="SI",ROUND($L12+$M12+$O12+$P12,4),0)</f>
        <v/>
      </c>
      <c r="R12" s="21">
        <f>IF($A12="","",IF(IFERROR(VALUE($D12),0)&lt;&gt;1,"Non attiva",IF(OR(IFERROR(VALUE($J12),0)&lt;&gt;1,IFERROR(VALUE($K12),0)&lt;&gt;1),"Singoli non attivi",IF(OR(IFERROR(VALUE($L12),0)&lt;Parametri!$B$2,IFERROR(VALUE($M12),0)&lt;Parametri!$B$2),"Soglia non superata",IF(OR(IFERROR(VALUE($F12),0)&lt;&gt;1,IFERROR(VALUE($G12),0)&lt;&gt;1),"Buste/PEF non confermati",IF(IFERROR(VALUE($E12),0)&lt;=$U12,"Ribasso non migliorativo",""))))))</f>
        <v/>
      </c>
      <c r="S12" s="21">
        <f>IF($H12="","",IFERROR(INDEX(Offerte!$F$2:$F$200,MATCH($A12&amp;"|"&amp;$H12,Offerte!$L$2:$L$200,0)),0))</f>
        <v/>
      </c>
      <c r="T12" s="21">
        <f>IF($I12="","",IFERROR(INDEX(Offerte!$F$2:$F$200,MATCH($A12&amp;"|"&amp;$I12,Offerte!$L$2:$L$200,0)),0))</f>
        <v/>
      </c>
      <c r="U12" s="21">
        <f>IF($A12="","",ROUND((IFERROR(VALUE($S12),0)+IFERROR(VALUE($T12),0))/2,4))</f>
        <v/>
      </c>
      <c r="V12" s="21">
        <f>IF($A12="","",$C12&amp;"|"&amp;TEXT($Q12,"0.0000"))</f>
        <v/>
      </c>
      <c r="W12" s="21">
        <f>IF($A12="","",$C12&amp;"|"&amp;$A12)</f>
        <v/>
      </c>
    </row>
    <row r="13">
      <c r="A13" s="20" t="inlineStr">
        <is>
          <t>B3</t>
        </is>
      </c>
      <c r="B13" s="20">
        <f>IF($A13="","",IFERROR(INDEX(Offerte!$B$2:$B$200,MATCH($A13,Offerte!$A$2:$A$200,0)),""))</f>
        <v/>
      </c>
      <c r="C13" s="20" t="inlineStr">
        <is>
          <t>L1+L2</t>
        </is>
      </c>
      <c r="D13" s="20" t="n">
        <v>0</v>
      </c>
      <c r="E13" s="20" t="n">
        <v>7.1</v>
      </c>
      <c r="F13" s="20" t="n">
        <v>1</v>
      </c>
      <c r="G13" s="20" t="n">
        <v>1</v>
      </c>
      <c r="H13" s="21">
        <f>IF($C13="L1+L2","L1",IF($C13="L2+L3","L2",IF($C13="L3+L4","L3",IF($C13="L1+L4","L1",""))))</f>
        <v/>
      </c>
      <c r="I13" s="21">
        <f>IF($C13="L1+L2","L2",IF($C13="L2+L3","L3",IF($C13="L3+L4","L4",IF($C13="L1+L4","L4",""))))</f>
        <v/>
      </c>
      <c r="J13" s="21">
        <f>IF($H13="","",IFERROR(INDEX(Offerte!$D$2:$D$200,MATCH($A13&amp;"|"&amp;$H13,Offerte!$L$2:$L$200,0)),0))</f>
        <v/>
      </c>
      <c r="K13" s="21">
        <f>IF($I13="","",IFERROR(INDEX(Offerte!$D$2:$D$200,MATCH($A13&amp;"|"&amp;$I13,Offerte!$L$2:$L$200,0)),0))</f>
        <v/>
      </c>
      <c r="L13" s="21">
        <f>IF($H13="","",IFERROR(INDEX(Offerte!$E$2:$E$200,MATCH($A13&amp;"|"&amp;$H13,Offerte!$L$2:$L$200,0)),0))</f>
        <v/>
      </c>
      <c r="M13" s="21">
        <f>IF($I13="","",IFERROR(INDEX(Offerte!$E$2:$E$200,MATCH($A13&amp;"|"&amp;$I13,Offerte!$L$2:$L$200,0)),0))</f>
        <v/>
      </c>
      <c r="N13" s="21">
        <f>IF($A13="","",IF(IFERROR(VALUE($D13),0)&lt;&gt;1,"NO",IF(AND(IFERROR(VALUE($J13),0)=1,IFERROR(VALUE($K13),0)=1,IFERROR(VALUE($L13),0)&gt;=Parametri!$B$2,IFERROR(VALUE($M13),0)&gt;=Parametri!$B$2,IFERROR(VALUE($F13),0)=1,IFERROR(VALUE($G13),0)=1,IFERROR(VALUE($E13),0)&gt;$U13),"SI","NO")))</f>
        <v/>
      </c>
      <c r="O13" s="21">
        <f>IF($N13="SI",IFERROR(30*(IFERROR(VALUE($E13),0)/MAX(SUMPRODUCT(MAX((Offerte!$C$2:$C$200=$H13)*(IFERROR(Offerte!$D$2:$D$200*1,0)=1)*(IFERROR(Offerte!$E$2:$E$200*1,0)&gt;=Parametri!$B$2)*IFERROR(Offerte!$F$2:$F$200*1,0))),SUMPRODUCT(MAX(($H$5:$H$80=$H13)*($N$5:$N$80="SI")*IFERROR($E$5:$E$80*1,0))),SUMPRODUCT(MAX(($I$5:$I$80=$H13)*($N$5:$N$80="SI")*IFERROR($E$5:$E$80*1,0))))),0),0)</f>
        <v/>
      </c>
      <c r="P13" s="21">
        <f>IF($N13="SI",IFERROR(30*(IFERROR(VALUE($E13),0)/MAX(SUMPRODUCT(MAX((Offerte!$C$2:$C$200=$I13)*(IFERROR(Offerte!$D$2:$D$200*1,0)=1)*(IFERROR(Offerte!$E$2:$E$200*1,0)&gt;=Parametri!$B$2)*IFERROR(Offerte!$F$2:$F$200*1,0))),SUMPRODUCT(MAX(($H$5:$H$80=$I13)*($N$5:$N$80="SI")*IFERROR($E$5:$E$80*1,0))),SUMPRODUCT(MAX(($I$5:$I$80=$I13)*($N$5:$N$80="SI")*IFERROR($E$5:$E$80*1,0))))),0),0)</f>
        <v/>
      </c>
      <c r="Q13" s="21">
        <f>IF($N13="SI",ROUND($L13+$M13+$O13+$P13,4),0)</f>
        <v/>
      </c>
      <c r="R13" s="21">
        <f>IF($A13="","",IF(IFERROR(VALUE($D13),0)&lt;&gt;1,"Non attiva",IF(OR(IFERROR(VALUE($J13),0)&lt;&gt;1,IFERROR(VALUE($K13),0)&lt;&gt;1),"Singoli non attivi",IF(OR(IFERROR(VALUE($L13),0)&lt;Parametri!$B$2,IFERROR(VALUE($M13),0)&lt;Parametri!$B$2),"Soglia non superata",IF(OR(IFERROR(VALUE($F13),0)&lt;&gt;1,IFERROR(VALUE($G13),0)&lt;&gt;1),"Buste/PEF non confermati",IF(IFERROR(VALUE($E13),0)&lt;=$U13,"Ribasso non migliorativo",""))))))</f>
        <v/>
      </c>
      <c r="S13" s="21">
        <f>IF($H13="","",IFERROR(INDEX(Offerte!$F$2:$F$200,MATCH($A13&amp;"|"&amp;$H13,Offerte!$L$2:$L$200,0)),0))</f>
        <v/>
      </c>
      <c r="T13" s="21">
        <f>IF($I13="","",IFERROR(INDEX(Offerte!$F$2:$F$200,MATCH($A13&amp;"|"&amp;$I13,Offerte!$L$2:$L$200,0)),0))</f>
        <v/>
      </c>
      <c r="U13" s="21">
        <f>IF($A13="","",ROUND((IFERROR(VALUE($S13),0)+IFERROR(VALUE($T13),0))/2,4))</f>
        <v/>
      </c>
      <c r="V13" s="21">
        <f>IF($A13="","",$C13&amp;"|"&amp;TEXT($Q13,"0.0000"))</f>
        <v/>
      </c>
      <c r="W13" s="21">
        <f>IF($A13="","",$C13&amp;"|"&amp;$A13)</f>
        <v/>
      </c>
    </row>
    <row r="14">
      <c r="A14" s="20" t="inlineStr">
        <is>
          <t>B3</t>
        </is>
      </c>
      <c r="B14" s="20">
        <f>IF($A14="","",IFERROR(INDEX(Offerte!$B$2:$B$200,MATCH($A14,Offerte!$A$2:$A$200,0)),""))</f>
        <v/>
      </c>
      <c r="C14" s="20" t="inlineStr">
        <is>
          <t>L2+L3</t>
        </is>
      </c>
      <c r="D14" s="20" t="n">
        <v>0</v>
      </c>
      <c r="E14" s="20" t="n">
        <v>6.65</v>
      </c>
      <c r="F14" s="20" t="n">
        <v>1</v>
      </c>
      <c r="G14" s="20" t="n">
        <v>1</v>
      </c>
      <c r="H14" s="21">
        <f>IF($C14="L1+L2","L1",IF($C14="L2+L3","L2",IF($C14="L3+L4","L3",IF($C14="L1+L4","L1",""))))</f>
        <v/>
      </c>
      <c r="I14" s="21">
        <f>IF($C14="L1+L2","L2",IF($C14="L2+L3","L3",IF($C14="L3+L4","L4",IF($C14="L1+L4","L4",""))))</f>
        <v/>
      </c>
      <c r="J14" s="21">
        <f>IF($H14="","",IFERROR(INDEX(Offerte!$D$2:$D$200,MATCH($A14&amp;"|"&amp;$H14,Offerte!$L$2:$L$200,0)),0))</f>
        <v/>
      </c>
      <c r="K14" s="21">
        <f>IF($I14="","",IFERROR(INDEX(Offerte!$D$2:$D$200,MATCH($A14&amp;"|"&amp;$I14,Offerte!$L$2:$L$200,0)),0))</f>
        <v/>
      </c>
      <c r="L14" s="21">
        <f>IF($H14="","",IFERROR(INDEX(Offerte!$E$2:$E$200,MATCH($A14&amp;"|"&amp;$H14,Offerte!$L$2:$L$200,0)),0))</f>
        <v/>
      </c>
      <c r="M14" s="21">
        <f>IF($I14="","",IFERROR(INDEX(Offerte!$E$2:$E$200,MATCH($A14&amp;"|"&amp;$I14,Offerte!$L$2:$L$200,0)),0))</f>
        <v/>
      </c>
      <c r="N14" s="21">
        <f>IF($A14="","",IF(IFERROR(VALUE($D14),0)&lt;&gt;1,"NO",IF(AND(IFERROR(VALUE($J14),0)=1,IFERROR(VALUE($K14),0)=1,IFERROR(VALUE($L14),0)&gt;=Parametri!$B$2,IFERROR(VALUE($M14),0)&gt;=Parametri!$B$2,IFERROR(VALUE($F14),0)=1,IFERROR(VALUE($G14),0)=1,IFERROR(VALUE($E14),0)&gt;$U14),"SI","NO")))</f>
        <v/>
      </c>
      <c r="O14" s="21">
        <f>IF($N14="SI",IFERROR(30*(IFERROR(VALUE($E14),0)/MAX(SUMPRODUCT(MAX((Offerte!$C$2:$C$200=$H14)*(IFERROR(Offerte!$D$2:$D$200*1,0)=1)*(IFERROR(Offerte!$E$2:$E$200*1,0)&gt;=Parametri!$B$2)*IFERROR(Offerte!$F$2:$F$200*1,0))),SUMPRODUCT(MAX(($H$5:$H$80=$H14)*($N$5:$N$80="SI")*IFERROR($E$5:$E$80*1,0))),SUMPRODUCT(MAX(($I$5:$I$80=$H14)*($N$5:$N$80="SI")*IFERROR($E$5:$E$80*1,0))))),0),0)</f>
        <v/>
      </c>
      <c r="P14" s="21">
        <f>IF($N14="SI",IFERROR(30*(IFERROR(VALUE($E14),0)/MAX(SUMPRODUCT(MAX((Offerte!$C$2:$C$200=$I14)*(IFERROR(Offerte!$D$2:$D$200*1,0)=1)*(IFERROR(Offerte!$E$2:$E$200*1,0)&gt;=Parametri!$B$2)*IFERROR(Offerte!$F$2:$F$200*1,0))),SUMPRODUCT(MAX(($H$5:$H$80=$I14)*($N$5:$N$80="SI")*IFERROR($E$5:$E$80*1,0))),SUMPRODUCT(MAX(($I$5:$I$80=$I14)*($N$5:$N$80="SI")*IFERROR($E$5:$E$80*1,0))))),0),0)</f>
        <v/>
      </c>
      <c r="Q14" s="21">
        <f>IF($N14="SI",ROUND($L14+$M14+$O14+$P14,4),0)</f>
        <v/>
      </c>
      <c r="R14" s="21">
        <f>IF($A14="","",IF(IFERROR(VALUE($D14),0)&lt;&gt;1,"Non attiva",IF(OR(IFERROR(VALUE($J14),0)&lt;&gt;1,IFERROR(VALUE($K14),0)&lt;&gt;1),"Singoli non attivi",IF(OR(IFERROR(VALUE($L14),0)&lt;Parametri!$B$2,IFERROR(VALUE($M14),0)&lt;Parametri!$B$2),"Soglia non superata",IF(OR(IFERROR(VALUE($F14),0)&lt;&gt;1,IFERROR(VALUE($G14),0)&lt;&gt;1),"Buste/PEF non confermati",IF(IFERROR(VALUE($E14),0)&lt;=$U14,"Ribasso non migliorativo",""))))))</f>
        <v/>
      </c>
      <c r="S14" s="21">
        <f>IF($H14="","",IFERROR(INDEX(Offerte!$F$2:$F$200,MATCH($A14&amp;"|"&amp;$H14,Offerte!$L$2:$L$200,0)),0))</f>
        <v/>
      </c>
      <c r="T14" s="21">
        <f>IF($I14="","",IFERROR(INDEX(Offerte!$F$2:$F$200,MATCH($A14&amp;"|"&amp;$I14,Offerte!$L$2:$L$200,0)),0))</f>
        <v/>
      </c>
      <c r="U14" s="21">
        <f>IF($A14="","",ROUND((IFERROR(VALUE($S14),0)+IFERROR(VALUE($T14),0))/2,4))</f>
        <v/>
      </c>
      <c r="V14" s="21">
        <f>IF($A14="","",$C14&amp;"|"&amp;TEXT($Q14,"0.0000"))</f>
        <v/>
      </c>
      <c r="W14" s="21">
        <f>IF($A14="","",$C14&amp;"|"&amp;$A14)</f>
        <v/>
      </c>
    </row>
    <row r="15">
      <c r="A15" s="20" t="inlineStr">
        <is>
          <t>B3</t>
        </is>
      </c>
      <c r="B15" s="20">
        <f>IF($A15="","",IFERROR(INDEX(Offerte!$B$2:$B$200,MATCH($A15,Offerte!$A$2:$A$200,0)),""))</f>
        <v/>
      </c>
      <c r="C15" s="20" t="inlineStr">
        <is>
          <t>L3+L4</t>
        </is>
      </c>
      <c r="D15" s="20" t="n">
        <v>0</v>
      </c>
      <c r="E15" s="20" t="n">
        <v>6.25</v>
      </c>
      <c r="F15" s="20" t="n">
        <v>1</v>
      </c>
      <c r="G15" s="20" t="n">
        <v>1</v>
      </c>
      <c r="H15" s="21">
        <f>IF($C15="L1+L2","L1",IF($C15="L2+L3","L2",IF($C15="L3+L4","L3",IF($C15="L1+L4","L1",""))))</f>
        <v/>
      </c>
      <c r="I15" s="21">
        <f>IF($C15="L1+L2","L2",IF($C15="L2+L3","L3",IF($C15="L3+L4","L4",IF($C15="L1+L4","L4",""))))</f>
        <v/>
      </c>
      <c r="J15" s="21">
        <f>IF($H15="","",IFERROR(INDEX(Offerte!$D$2:$D$200,MATCH($A15&amp;"|"&amp;$H15,Offerte!$L$2:$L$200,0)),0))</f>
        <v/>
      </c>
      <c r="K15" s="21">
        <f>IF($I15="","",IFERROR(INDEX(Offerte!$D$2:$D$200,MATCH($A15&amp;"|"&amp;$I15,Offerte!$L$2:$L$200,0)),0))</f>
        <v/>
      </c>
      <c r="L15" s="21">
        <f>IF($H15="","",IFERROR(INDEX(Offerte!$E$2:$E$200,MATCH($A15&amp;"|"&amp;$H15,Offerte!$L$2:$L$200,0)),0))</f>
        <v/>
      </c>
      <c r="M15" s="21">
        <f>IF($I15="","",IFERROR(INDEX(Offerte!$E$2:$E$200,MATCH($A15&amp;"|"&amp;$I15,Offerte!$L$2:$L$200,0)),0))</f>
        <v/>
      </c>
      <c r="N15" s="21">
        <f>IF($A15="","",IF(IFERROR(VALUE($D15),0)&lt;&gt;1,"NO",IF(AND(IFERROR(VALUE($J15),0)=1,IFERROR(VALUE($K15),0)=1,IFERROR(VALUE($L15),0)&gt;=Parametri!$B$2,IFERROR(VALUE($M15),0)&gt;=Parametri!$B$2,IFERROR(VALUE($F15),0)=1,IFERROR(VALUE($G15),0)=1,IFERROR(VALUE($E15),0)&gt;$U15),"SI","NO")))</f>
        <v/>
      </c>
      <c r="O15" s="21">
        <f>IF($N15="SI",IFERROR(30*(IFERROR(VALUE($E15),0)/MAX(SUMPRODUCT(MAX((Offerte!$C$2:$C$200=$H15)*(IFERROR(Offerte!$D$2:$D$200*1,0)=1)*(IFERROR(Offerte!$E$2:$E$200*1,0)&gt;=Parametri!$B$2)*IFERROR(Offerte!$F$2:$F$200*1,0))),SUMPRODUCT(MAX(($H$5:$H$80=$H15)*($N$5:$N$80="SI")*IFERROR($E$5:$E$80*1,0))),SUMPRODUCT(MAX(($I$5:$I$80=$H15)*($N$5:$N$80="SI")*IFERROR($E$5:$E$80*1,0))))),0),0)</f>
        <v/>
      </c>
      <c r="P15" s="21">
        <f>IF($N15="SI",IFERROR(30*(IFERROR(VALUE($E15),0)/MAX(SUMPRODUCT(MAX((Offerte!$C$2:$C$200=$I15)*(IFERROR(Offerte!$D$2:$D$200*1,0)=1)*(IFERROR(Offerte!$E$2:$E$200*1,0)&gt;=Parametri!$B$2)*IFERROR(Offerte!$F$2:$F$200*1,0))),SUMPRODUCT(MAX(($H$5:$H$80=$I15)*($N$5:$N$80="SI")*IFERROR($E$5:$E$80*1,0))),SUMPRODUCT(MAX(($I$5:$I$80=$I15)*($N$5:$N$80="SI")*IFERROR($E$5:$E$80*1,0))))),0),0)</f>
        <v/>
      </c>
      <c r="Q15" s="21">
        <f>IF($N15="SI",ROUND($L15+$M15+$O15+$P15,4),0)</f>
        <v/>
      </c>
      <c r="R15" s="21">
        <f>IF($A15="","",IF(IFERROR(VALUE($D15),0)&lt;&gt;1,"Non attiva",IF(OR(IFERROR(VALUE($J15),0)&lt;&gt;1,IFERROR(VALUE($K15),0)&lt;&gt;1),"Singoli non attivi",IF(OR(IFERROR(VALUE($L15),0)&lt;Parametri!$B$2,IFERROR(VALUE($M15),0)&lt;Parametri!$B$2),"Soglia non superata",IF(OR(IFERROR(VALUE($F15),0)&lt;&gt;1,IFERROR(VALUE($G15),0)&lt;&gt;1),"Buste/PEF non confermati",IF(IFERROR(VALUE($E15),0)&lt;=$U15,"Ribasso non migliorativo",""))))))</f>
        <v/>
      </c>
      <c r="S15" s="21">
        <f>IF($H15="","",IFERROR(INDEX(Offerte!$F$2:$F$200,MATCH($A15&amp;"|"&amp;$H15,Offerte!$L$2:$L$200,0)),0))</f>
        <v/>
      </c>
      <c r="T15" s="21">
        <f>IF($I15="","",IFERROR(INDEX(Offerte!$F$2:$F$200,MATCH($A15&amp;"|"&amp;$I15,Offerte!$L$2:$L$200,0)),0))</f>
        <v/>
      </c>
      <c r="U15" s="21">
        <f>IF($A15="","",ROUND((IFERROR(VALUE($S15),0)+IFERROR(VALUE($T15),0))/2,4))</f>
        <v/>
      </c>
      <c r="V15" s="21">
        <f>IF($A15="","",$C15&amp;"|"&amp;TEXT($Q15,"0.0000"))</f>
        <v/>
      </c>
      <c r="W15" s="21">
        <f>IF($A15="","",$C15&amp;"|"&amp;$A15)</f>
        <v/>
      </c>
    </row>
    <row r="16">
      <c r="A16" s="20" t="inlineStr">
        <is>
          <t>B3</t>
        </is>
      </c>
      <c r="B16" s="20">
        <f>IF($A16="","",IFERROR(INDEX(Offerte!$B$2:$B$200,MATCH($A16,Offerte!$A$2:$A$200,0)),""))</f>
        <v/>
      </c>
      <c r="C16" s="20" t="inlineStr">
        <is>
          <t>L1+L4</t>
        </is>
      </c>
      <c r="D16" s="20" t="n">
        <v>0</v>
      </c>
      <c r="E16" s="20" t="n">
        <v>6.7</v>
      </c>
      <c r="F16" s="20" t="n">
        <v>1</v>
      </c>
      <c r="G16" s="20" t="n">
        <v>1</v>
      </c>
      <c r="H16" s="21">
        <f>IF($C16="L1+L2","L1",IF($C16="L2+L3","L2",IF($C16="L3+L4","L3",IF($C16="L1+L4","L1",""))))</f>
        <v/>
      </c>
      <c r="I16" s="21">
        <f>IF($C16="L1+L2","L2",IF($C16="L2+L3","L3",IF($C16="L3+L4","L4",IF($C16="L1+L4","L4",""))))</f>
        <v/>
      </c>
      <c r="J16" s="21">
        <f>IF($H16="","",IFERROR(INDEX(Offerte!$D$2:$D$200,MATCH($A16&amp;"|"&amp;$H16,Offerte!$L$2:$L$200,0)),0))</f>
        <v/>
      </c>
      <c r="K16" s="21">
        <f>IF($I16="","",IFERROR(INDEX(Offerte!$D$2:$D$200,MATCH($A16&amp;"|"&amp;$I16,Offerte!$L$2:$L$200,0)),0))</f>
        <v/>
      </c>
      <c r="L16" s="21">
        <f>IF($H16="","",IFERROR(INDEX(Offerte!$E$2:$E$200,MATCH($A16&amp;"|"&amp;$H16,Offerte!$L$2:$L$200,0)),0))</f>
        <v/>
      </c>
      <c r="M16" s="21">
        <f>IF($I16="","",IFERROR(INDEX(Offerte!$E$2:$E$200,MATCH($A16&amp;"|"&amp;$I16,Offerte!$L$2:$L$200,0)),0))</f>
        <v/>
      </c>
      <c r="N16" s="21">
        <f>IF($A16="","",IF(IFERROR(VALUE($D16),0)&lt;&gt;1,"NO",IF(AND(IFERROR(VALUE($J16),0)=1,IFERROR(VALUE($K16),0)=1,IFERROR(VALUE($L16),0)&gt;=Parametri!$B$2,IFERROR(VALUE($M16),0)&gt;=Parametri!$B$2,IFERROR(VALUE($F16),0)=1,IFERROR(VALUE($G16),0)=1,IFERROR(VALUE($E16),0)&gt;$U16),"SI","NO")))</f>
        <v/>
      </c>
      <c r="O16" s="21">
        <f>IF($N16="SI",IFERROR(30*(IFERROR(VALUE($E16),0)/MAX(SUMPRODUCT(MAX((Offerte!$C$2:$C$200=$H16)*(IFERROR(Offerte!$D$2:$D$200*1,0)=1)*(IFERROR(Offerte!$E$2:$E$200*1,0)&gt;=Parametri!$B$2)*IFERROR(Offerte!$F$2:$F$200*1,0))),SUMPRODUCT(MAX(($H$5:$H$80=$H16)*($N$5:$N$80="SI")*IFERROR($E$5:$E$80*1,0))),SUMPRODUCT(MAX(($I$5:$I$80=$H16)*($N$5:$N$80="SI")*IFERROR($E$5:$E$80*1,0))))),0),0)</f>
        <v/>
      </c>
      <c r="P16" s="21">
        <f>IF($N16="SI",IFERROR(30*(IFERROR(VALUE($E16),0)/MAX(SUMPRODUCT(MAX((Offerte!$C$2:$C$200=$I16)*(IFERROR(Offerte!$D$2:$D$200*1,0)=1)*(IFERROR(Offerte!$E$2:$E$200*1,0)&gt;=Parametri!$B$2)*IFERROR(Offerte!$F$2:$F$200*1,0))),SUMPRODUCT(MAX(($H$5:$H$80=$I16)*($N$5:$N$80="SI")*IFERROR($E$5:$E$80*1,0))),SUMPRODUCT(MAX(($I$5:$I$80=$I16)*($N$5:$N$80="SI")*IFERROR($E$5:$E$80*1,0))))),0),0)</f>
        <v/>
      </c>
      <c r="Q16" s="21">
        <f>IF($N16="SI",ROUND($L16+$M16+$O16+$P16,4),0)</f>
        <v/>
      </c>
      <c r="R16" s="21">
        <f>IF($A16="","",IF(IFERROR(VALUE($D16),0)&lt;&gt;1,"Non attiva",IF(OR(IFERROR(VALUE($J16),0)&lt;&gt;1,IFERROR(VALUE($K16),0)&lt;&gt;1),"Singoli non attivi",IF(OR(IFERROR(VALUE($L16),0)&lt;Parametri!$B$2,IFERROR(VALUE($M16),0)&lt;Parametri!$B$2),"Soglia non superata",IF(OR(IFERROR(VALUE($F16),0)&lt;&gt;1,IFERROR(VALUE($G16),0)&lt;&gt;1),"Buste/PEF non confermati",IF(IFERROR(VALUE($E16),0)&lt;=$U16,"Ribasso non migliorativo",""))))))</f>
        <v/>
      </c>
      <c r="S16" s="21">
        <f>IF($H16="","",IFERROR(INDEX(Offerte!$F$2:$F$200,MATCH($A16&amp;"|"&amp;$H16,Offerte!$L$2:$L$200,0)),0))</f>
        <v/>
      </c>
      <c r="T16" s="21">
        <f>IF($I16="","",IFERROR(INDEX(Offerte!$F$2:$F$200,MATCH($A16&amp;"|"&amp;$I16,Offerte!$L$2:$L$200,0)),0))</f>
        <v/>
      </c>
      <c r="U16" s="21">
        <f>IF($A16="","",ROUND((IFERROR(VALUE($S16),0)+IFERROR(VALUE($T16),0))/2,4))</f>
        <v/>
      </c>
      <c r="V16" s="21">
        <f>IF($A16="","",$C16&amp;"|"&amp;TEXT($Q16,"0.0000"))</f>
        <v/>
      </c>
      <c r="W16" s="21">
        <f>IF($A16="","",$C16&amp;"|"&amp;$A16)</f>
        <v/>
      </c>
    </row>
    <row r="17">
      <c r="A17" s="20" t="n"/>
      <c r="B17" s="20">
        <f>IF($A17="","",IFERROR(INDEX(Offerte!$B$2:$B$200,MATCH($A17,Offerte!$A$2:$A$200,0)),""))</f>
        <v/>
      </c>
      <c r="C17" s="20" t="n"/>
      <c r="D17" s="20" t="n"/>
      <c r="E17" s="20" t="n"/>
      <c r="F17" s="20" t="n"/>
      <c r="G17" s="20" t="n"/>
      <c r="H17" s="21">
        <f>IF($C17="L1+L2","L1",IF($C17="L2+L3","L2",IF($C17="L3+L4","L3",IF($C17="L1+L4","L1",""))))</f>
        <v/>
      </c>
      <c r="I17" s="21">
        <f>IF($C17="L1+L2","L2",IF($C17="L2+L3","L3",IF($C17="L3+L4","L4",IF($C17="L1+L4","L4",""))))</f>
        <v/>
      </c>
      <c r="J17" s="21">
        <f>IF($H17="","",IFERROR(INDEX(Offerte!$D$2:$D$200,MATCH($A17&amp;"|"&amp;$H17,Offerte!$L$2:$L$200,0)),0))</f>
        <v/>
      </c>
      <c r="K17" s="21">
        <f>IF($I17="","",IFERROR(INDEX(Offerte!$D$2:$D$200,MATCH($A17&amp;"|"&amp;$I17,Offerte!$L$2:$L$200,0)),0))</f>
        <v/>
      </c>
      <c r="L17" s="21">
        <f>IF($H17="","",IFERROR(INDEX(Offerte!$E$2:$E$200,MATCH($A17&amp;"|"&amp;$H17,Offerte!$L$2:$L$200,0)),0))</f>
        <v/>
      </c>
      <c r="M17" s="21">
        <f>IF($I17="","",IFERROR(INDEX(Offerte!$E$2:$E$200,MATCH($A17&amp;"|"&amp;$I17,Offerte!$L$2:$L$200,0)),0))</f>
        <v/>
      </c>
      <c r="N17" s="21">
        <f>IF($A17="","",IF(IFERROR(VALUE($D17),0)&lt;&gt;1,"NO",IF(AND(IFERROR(VALUE($J17),0)=1,IFERROR(VALUE($K17),0)=1,IFERROR(VALUE($L17),0)&gt;=Parametri!$B$2,IFERROR(VALUE($M17),0)&gt;=Parametri!$B$2,IFERROR(VALUE($F17),0)=1,IFERROR(VALUE($G17),0)=1,IFERROR(VALUE($E17),0)&gt;$U17),"SI","NO")))</f>
        <v/>
      </c>
      <c r="O17" s="21">
        <f>IF($N17="SI",IFERROR(30*(IFERROR(VALUE($E17),0)/MAX(SUMPRODUCT(MAX((Offerte!$C$2:$C$200=$H17)*(IFERROR(Offerte!$D$2:$D$200*1,0)=1)*(IFERROR(Offerte!$E$2:$E$200*1,0)&gt;=Parametri!$B$2)*IFERROR(Offerte!$F$2:$F$200*1,0))),SUMPRODUCT(MAX(($H$5:$H$80=$H17)*($N$5:$N$80="SI")*IFERROR($E$5:$E$80*1,0))),SUMPRODUCT(MAX(($I$5:$I$80=$H17)*($N$5:$N$80="SI")*IFERROR($E$5:$E$80*1,0))))),0),0)</f>
        <v/>
      </c>
      <c r="P17" s="21">
        <f>IF($N17="SI",IFERROR(30*(IFERROR(VALUE($E17),0)/MAX(SUMPRODUCT(MAX((Offerte!$C$2:$C$200=$I17)*(IFERROR(Offerte!$D$2:$D$200*1,0)=1)*(IFERROR(Offerte!$E$2:$E$200*1,0)&gt;=Parametri!$B$2)*IFERROR(Offerte!$F$2:$F$200*1,0))),SUMPRODUCT(MAX(($H$5:$H$80=$I17)*($N$5:$N$80="SI")*IFERROR($E$5:$E$80*1,0))),SUMPRODUCT(MAX(($I$5:$I$80=$I17)*($N$5:$N$80="SI")*IFERROR($E$5:$E$80*1,0))))),0),0)</f>
        <v/>
      </c>
      <c r="Q17" s="21">
        <f>IF($N17="SI",ROUND($L17+$M17+$O17+$P17,4),0)</f>
        <v/>
      </c>
      <c r="R17" s="21">
        <f>IF($A17="","",IF(IFERROR(VALUE($D17),0)&lt;&gt;1,"Non attiva",IF(OR(IFERROR(VALUE($J17),0)&lt;&gt;1,IFERROR(VALUE($K17),0)&lt;&gt;1),"Singoli non attivi",IF(OR(IFERROR(VALUE($L17),0)&lt;Parametri!$B$2,IFERROR(VALUE($M17),0)&lt;Parametri!$B$2),"Soglia non superata",IF(OR(IFERROR(VALUE($F17),0)&lt;&gt;1,IFERROR(VALUE($G17),0)&lt;&gt;1),"Buste/PEF non confermati",IF(IFERROR(VALUE($E17),0)&lt;=$U17,"Ribasso non migliorativo",""))))))</f>
        <v/>
      </c>
      <c r="S17" s="21">
        <f>IF($H17="","",IFERROR(INDEX(Offerte!$F$2:$F$200,MATCH($A17&amp;"|"&amp;$H17,Offerte!$L$2:$L$200,0)),0))</f>
        <v/>
      </c>
      <c r="T17" s="21">
        <f>IF($I17="","",IFERROR(INDEX(Offerte!$F$2:$F$200,MATCH($A17&amp;"|"&amp;$I17,Offerte!$L$2:$L$200,0)),0))</f>
        <v/>
      </c>
      <c r="U17" s="21">
        <f>IF($A17="","",ROUND((IFERROR(VALUE($S17),0)+IFERROR(VALUE($T17),0))/2,4))</f>
        <v/>
      </c>
      <c r="V17" s="21">
        <f>IF($A17="","",$C17&amp;"|"&amp;TEXT($Q17,"0.0000"))</f>
        <v/>
      </c>
      <c r="W17" s="21">
        <f>IF($A17="","",$C17&amp;"|"&amp;$A17)</f>
        <v/>
      </c>
    </row>
    <row r="18">
      <c r="A18" s="20" t="n"/>
      <c r="B18" s="20">
        <f>IF($A18="","",IFERROR(INDEX(Offerte!$B$2:$B$200,MATCH($A18,Offerte!$A$2:$A$200,0)),""))</f>
        <v/>
      </c>
      <c r="C18" s="20" t="n"/>
      <c r="D18" s="20" t="n"/>
      <c r="E18" s="20" t="n"/>
      <c r="F18" s="20" t="n"/>
      <c r="G18" s="20" t="n"/>
      <c r="H18" s="21">
        <f>IF($C18="L1+L2","L1",IF($C18="L2+L3","L2",IF($C18="L3+L4","L3",IF($C18="L1+L4","L1",""))))</f>
        <v/>
      </c>
      <c r="I18" s="21">
        <f>IF($C18="L1+L2","L2",IF($C18="L2+L3","L3",IF($C18="L3+L4","L4",IF($C18="L1+L4","L4",""))))</f>
        <v/>
      </c>
      <c r="J18" s="21">
        <f>IF($H18="","",IFERROR(INDEX(Offerte!$D$2:$D$200,MATCH($A18&amp;"|"&amp;$H18,Offerte!$L$2:$L$200,0)),0))</f>
        <v/>
      </c>
      <c r="K18" s="21">
        <f>IF($I18="","",IFERROR(INDEX(Offerte!$D$2:$D$200,MATCH($A18&amp;"|"&amp;$I18,Offerte!$L$2:$L$200,0)),0))</f>
        <v/>
      </c>
      <c r="L18" s="21">
        <f>IF($H18="","",IFERROR(INDEX(Offerte!$E$2:$E$200,MATCH($A18&amp;"|"&amp;$H18,Offerte!$L$2:$L$200,0)),0))</f>
        <v/>
      </c>
      <c r="M18" s="21">
        <f>IF($I18="","",IFERROR(INDEX(Offerte!$E$2:$E$200,MATCH($A18&amp;"|"&amp;$I18,Offerte!$L$2:$L$200,0)),0))</f>
        <v/>
      </c>
      <c r="N18" s="21">
        <f>IF($A18="","",IF(IFERROR(VALUE($D18),0)&lt;&gt;1,"NO",IF(AND(IFERROR(VALUE($J18),0)=1,IFERROR(VALUE($K18),0)=1,IFERROR(VALUE($L18),0)&gt;=Parametri!$B$2,IFERROR(VALUE($M18),0)&gt;=Parametri!$B$2,IFERROR(VALUE($F18),0)=1,IFERROR(VALUE($G18),0)=1,IFERROR(VALUE($E18),0)&gt;$U18),"SI","NO")))</f>
        <v/>
      </c>
      <c r="O18" s="21">
        <f>IF($N18="SI",IFERROR(30*(IFERROR(VALUE($E18),0)/MAX(SUMPRODUCT(MAX((Offerte!$C$2:$C$200=$H18)*(IFERROR(Offerte!$D$2:$D$200*1,0)=1)*(IFERROR(Offerte!$E$2:$E$200*1,0)&gt;=Parametri!$B$2)*IFERROR(Offerte!$F$2:$F$200*1,0))),SUMPRODUCT(MAX(($H$5:$H$80=$H18)*($N$5:$N$80="SI")*IFERROR($E$5:$E$80*1,0))),SUMPRODUCT(MAX(($I$5:$I$80=$H18)*($N$5:$N$80="SI")*IFERROR($E$5:$E$80*1,0))))),0),0)</f>
        <v/>
      </c>
      <c r="P18" s="21">
        <f>IF($N18="SI",IFERROR(30*(IFERROR(VALUE($E18),0)/MAX(SUMPRODUCT(MAX((Offerte!$C$2:$C$200=$I18)*(IFERROR(Offerte!$D$2:$D$200*1,0)=1)*(IFERROR(Offerte!$E$2:$E$200*1,0)&gt;=Parametri!$B$2)*IFERROR(Offerte!$F$2:$F$200*1,0))),SUMPRODUCT(MAX(($H$5:$H$80=$I18)*($N$5:$N$80="SI")*IFERROR($E$5:$E$80*1,0))),SUMPRODUCT(MAX(($I$5:$I$80=$I18)*($N$5:$N$80="SI")*IFERROR($E$5:$E$80*1,0))))),0),0)</f>
        <v/>
      </c>
      <c r="Q18" s="21">
        <f>IF($N18="SI",ROUND($L18+$M18+$O18+$P18,4),0)</f>
        <v/>
      </c>
      <c r="R18" s="21">
        <f>IF($A18="","",IF(IFERROR(VALUE($D18),0)&lt;&gt;1,"Non attiva",IF(OR(IFERROR(VALUE($J18),0)&lt;&gt;1,IFERROR(VALUE($K18),0)&lt;&gt;1),"Singoli non attivi",IF(OR(IFERROR(VALUE($L18),0)&lt;Parametri!$B$2,IFERROR(VALUE($M18),0)&lt;Parametri!$B$2),"Soglia non superata",IF(OR(IFERROR(VALUE($F18),0)&lt;&gt;1,IFERROR(VALUE($G18),0)&lt;&gt;1),"Buste/PEF non confermati",IF(IFERROR(VALUE($E18),0)&lt;=$U18,"Ribasso non migliorativo",""))))))</f>
        <v/>
      </c>
      <c r="S18" s="21">
        <f>IF($H18="","",IFERROR(INDEX(Offerte!$F$2:$F$200,MATCH($A18&amp;"|"&amp;$H18,Offerte!$L$2:$L$200,0)),0))</f>
        <v/>
      </c>
      <c r="T18" s="21">
        <f>IF($I18="","",IFERROR(INDEX(Offerte!$F$2:$F$200,MATCH($A18&amp;"|"&amp;$I18,Offerte!$L$2:$L$200,0)),0))</f>
        <v/>
      </c>
      <c r="U18" s="21">
        <f>IF($A18="","",ROUND((IFERROR(VALUE($S18),0)+IFERROR(VALUE($T18),0))/2,4))</f>
        <v/>
      </c>
      <c r="V18" s="21">
        <f>IF($A18="","",$C18&amp;"|"&amp;TEXT($Q18,"0.0000"))</f>
        <v/>
      </c>
      <c r="W18" s="21">
        <f>IF($A18="","",$C18&amp;"|"&amp;$A18)</f>
        <v/>
      </c>
    </row>
    <row r="19">
      <c r="A19" s="20" t="n"/>
      <c r="B19" s="20">
        <f>IF($A19="","",IFERROR(INDEX(Offerte!$B$2:$B$200,MATCH($A19,Offerte!$A$2:$A$200,0)),""))</f>
        <v/>
      </c>
      <c r="C19" s="20" t="n"/>
      <c r="D19" s="20" t="n"/>
      <c r="E19" s="20" t="n"/>
      <c r="F19" s="20" t="n"/>
      <c r="G19" s="20" t="n"/>
      <c r="H19" s="21">
        <f>IF($C19="L1+L2","L1",IF($C19="L2+L3","L2",IF($C19="L3+L4","L3",IF($C19="L1+L4","L1",""))))</f>
        <v/>
      </c>
      <c r="I19" s="21">
        <f>IF($C19="L1+L2","L2",IF($C19="L2+L3","L3",IF($C19="L3+L4","L4",IF($C19="L1+L4","L4",""))))</f>
        <v/>
      </c>
      <c r="J19" s="21">
        <f>IF($H19="","",IFERROR(INDEX(Offerte!$D$2:$D$200,MATCH($A19&amp;"|"&amp;$H19,Offerte!$L$2:$L$200,0)),0))</f>
        <v/>
      </c>
      <c r="K19" s="21">
        <f>IF($I19="","",IFERROR(INDEX(Offerte!$D$2:$D$200,MATCH($A19&amp;"|"&amp;$I19,Offerte!$L$2:$L$200,0)),0))</f>
        <v/>
      </c>
      <c r="L19" s="21">
        <f>IF($H19="","",IFERROR(INDEX(Offerte!$E$2:$E$200,MATCH($A19&amp;"|"&amp;$H19,Offerte!$L$2:$L$200,0)),0))</f>
        <v/>
      </c>
      <c r="M19" s="21">
        <f>IF($I19="","",IFERROR(INDEX(Offerte!$E$2:$E$200,MATCH($A19&amp;"|"&amp;$I19,Offerte!$L$2:$L$200,0)),0))</f>
        <v/>
      </c>
      <c r="N19" s="21">
        <f>IF($A19="","",IF(IFERROR(VALUE($D19),0)&lt;&gt;1,"NO",IF(AND(IFERROR(VALUE($J19),0)=1,IFERROR(VALUE($K19),0)=1,IFERROR(VALUE($L19),0)&gt;=Parametri!$B$2,IFERROR(VALUE($M19),0)&gt;=Parametri!$B$2,IFERROR(VALUE($F19),0)=1,IFERROR(VALUE($G19),0)=1,IFERROR(VALUE($E19),0)&gt;$U19),"SI","NO")))</f>
        <v/>
      </c>
      <c r="O19" s="21">
        <f>IF($N19="SI",IFERROR(30*(IFERROR(VALUE($E19),0)/MAX(SUMPRODUCT(MAX((Offerte!$C$2:$C$200=$H19)*(IFERROR(Offerte!$D$2:$D$200*1,0)=1)*(IFERROR(Offerte!$E$2:$E$200*1,0)&gt;=Parametri!$B$2)*IFERROR(Offerte!$F$2:$F$200*1,0))),SUMPRODUCT(MAX(($H$5:$H$80=$H19)*($N$5:$N$80="SI")*IFERROR($E$5:$E$80*1,0))),SUMPRODUCT(MAX(($I$5:$I$80=$H19)*($N$5:$N$80="SI")*IFERROR($E$5:$E$80*1,0))))),0),0)</f>
        <v/>
      </c>
      <c r="P19" s="21">
        <f>IF($N19="SI",IFERROR(30*(IFERROR(VALUE($E19),0)/MAX(SUMPRODUCT(MAX((Offerte!$C$2:$C$200=$I19)*(IFERROR(Offerte!$D$2:$D$200*1,0)=1)*(IFERROR(Offerte!$E$2:$E$200*1,0)&gt;=Parametri!$B$2)*IFERROR(Offerte!$F$2:$F$200*1,0))),SUMPRODUCT(MAX(($H$5:$H$80=$I19)*($N$5:$N$80="SI")*IFERROR($E$5:$E$80*1,0))),SUMPRODUCT(MAX(($I$5:$I$80=$I19)*($N$5:$N$80="SI")*IFERROR($E$5:$E$80*1,0))))),0),0)</f>
        <v/>
      </c>
      <c r="Q19" s="21">
        <f>IF($N19="SI",ROUND($L19+$M19+$O19+$P19,4),0)</f>
        <v/>
      </c>
      <c r="R19" s="21">
        <f>IF($A19="","",IF(IFERROR(VALUE($D19),0)&lt;&gt;1,"Non attiva",IF(OR(IFERROR(VALUE($J19),0)&lt;&gt;1,IFERROR(VALUE($K19),0)&lt;&gt;1),"Singoli non attivi",IF(OR(IFERROR(VALUE($L19),0)&lt;Parametri!$B$2,IFERROR(VALUE($M19),0)&lt;Parametri!$B$2),"Soglia non superata",IF(OR(IFERROR(VALUE($F19),0)&lt;&gt;1,IFERROR(VALUE($G19),0)&lt;&gt;1),"Buste/PEF non confermati",IF(IFERROR(VALUE($E19),0)&lt;=$U19,"Ribasso non migliorativo",""))))))</f>
        <v/>
      </c>
      <c r="S19" s="21">
        <f>IF($H19="","",IFERROR(INDEX(Offerte!$F$2:$F$200,MATCH($A19&amp;"|"&amp;$H19,Offerte!$L$2:$L$200,0)),0))</f>
        <v/>
      </c>
      <c r="T19" s="21">
        <f>IF($I19="","",IFERROR(INDEX(Offerte!$F$2:$F$200,MATCH($A19&amp;"|"&amp;$I19,Offerte!$L$2:$L$200,0)),0))</f>
        <v/>
      </c>
      <c r="U19" s="21">
        <f>IF($A19="","",ROUND((IFERROR(VALUE($S19),0)+IFERROR(VALUE($T19),0))/2,4))</f>
        <v/>
      </c>
      <c r="V19" s="21">
        <f>IF($A19="","",$C19&amp;"|"&amp;TEXT($Q19,"0.0000"))</f>
        <v/>
      </c>
      <c r="W19" s="21">
        <f>IF($A19="","",$C19&amp;"|"&amp;$A19)</f>
        <v/>
      </c>
    </row>
    <row r="20">
      <c r="A20" s="20" t="n"/>
      <c r="B20" s="20">
        <f>IF($A20="","",IFERROR(INDEX(Offerte!$B$2:$B$200,MATCH($A20,Offerte!$A$2:$A$200,0)),""))</f>
        <v/>
      </c>
      <c r="C20" s="20" t="n"/>
      <c r="D20" s="20" t="n"/>
      <c r="E20" s="20" t="n"/>
      <c r="F20" s="20" t="n"/>
      <c r="G20" s="20" t="n"/>
      <c r="H20" s="21">
        <f>IF($C20="L1+L2","L1",IF($C20="L2+L3","L2",IF($C20="L3+L4","L3",IF($C20="L1+L4","L1",""))))</f>
        <v/>
      </c>
      <c r="I20" s="21">
        <f>IF($C20="L1+L2","L2",IF($C20="L2+L3","L3",IF($C20="L3+L4","L4",IF($C20="L1+L4","L4",""))))</f>
        <v/>
      </c>
      <c r="J20" s="21">
        <f>IF($H20="","",IFERROR(INDEX(Offerte!$D$2:$D$200,MATCH($A20&amp;"|"&amp;$H20,Offerte!$L$2:$L$200,0)),0))</f>
        <v/>
      </c>
      <c r="K20" s="21">
        <f>IF($I20="","",IFERROR(INDEX(Offerte!$D$2:$D$200,MATCH($A20&amp;"|"&amp;$I20,Offerte!$L$2:$L$200,0)),0))</f>
        <v/>
      </c>
      <c r="L20" s="21">
        <f>IF($H20="","",IFERROR(INDEX(Offerte!$E$2:$E$200,MATCH($A20&amp;"|"&amp;$H20,Offerte!$L$2:$L$200,0)),0))</f>
        <v/>
      </c>
      <c r="M20" s="21">
        <f>IF($I20="","",IFERROR(INDEX(Offerte!$E$2:$E$200,MATCH($A20&amp;"|"&amp;$I20,Offerte!$L$2:$L$200,0)),0))</f>
        <v/>
      </c>
      <c r="N20" s="21">
        <f>IF($A20="","",IF(IFERROR(VALUE($D20),0)&lt;&gt;1,"NO",IF(AND(IFERROR(VALUE($J20),0)=1,IFERROR(VALUE($K20),0)=1,IFERROR(VALUE($L20),0)&gt;=Parametri!$B$2,IFERROR(VALUE($M20),0)&gt;=Parametri!$B$2,IFERROR(VALUE($F20),0)=1,IFERROR(VALUE($G20),0)=1,IFERROR(VALUE($E20),0)&gt;$U20),"SI","NO")))</f>
        <v/>
      </c>
      <c r="O20" s="21">
        <f>IF($N20="SI",IFERROR(30*(IFERROR(VALUE($E20),0)/MAX(SUMPRODUCT(MAX((Offerte!$C$2:$C$200=$H20)*(IFERROR(Offerte!$D$2:$D$200*1,0)=1)*(IFERROR(Offerte!$E$2:$E$200*1,0)&gt;=Parametri!$B$2)*IFERROR(Offerte!$F$2:$F$200*1,0))),SUMPRODUCT(MAX(($H$5:$H$80=$H20)*($N$5:$N$80="SI")*IFERROR($E$5:$E$80*1,0))),SUMPRODUCT(MAX(($I$5:$I$80=$H20)*($N$5:$N$80="SI")*IFERROR($E$5:$E$80*1,0))))),0),0)</f>
        <v/>
      </c>
      <c r="P20" s="21">
        <f>IF($N20="SI",IFERROR(30*(IFERROR(VALUE($E20),0)/MAX(SUMPRODUCT(MAX((Offerte!$C$2:$C$200=$I20)*(IFERROR(Offerte!$D$2:$D$200*1,0)=1)*(IFERROR(Offerte!$E$2:$E$200*1,0)&gt;=Parametri!$B$2)*IFERROR(Offerte!$F$2:$F$200*1,0))),SUMPRODUCT(MAX(($H$5:$H$80=$I20)*($N$5:$N$80="SI")*IFERROR($E$5:$E$80*1,0))),SUMPRODUCT(MAX(($I$5:$I$80=$I20)*($N$5:$N$80="SI")*IFERROR($E$5:$E$80*1,0))))),0),0)</f>
        <v/>
      </c>
      <c r="Q20" s="21">
        <f>IF($N20="SI",ROUND($L20+$M20+$O20+$P20,4),0)</f>
        <v/>
      </c>
      <c r="R20" s="21">
        <f>IF($A20="","",IF(IFERROR(VALUE($D20),0)&lt;&gt;1,"Non attiva",IF(OR(IFERROR(VALUE($J20),0)&lt;&gt;1,IFERROR(VALUE($K20),0)&lt;&gt;1),"Singoli non attivi",IF(OR(IFERROR(VALUE($L20),0)&lt;Parametri!$B$2,IFERROR(VALUE($M20),0)&lt;Parametri!$B$2),"Soglia non superata",IF(OR(IFERROR(VALUE($F20),0)&lt;&gt;1,IFERROR(VALUE($G20),0)&lt;&gt;1),"Buste/PEF non confermati",IF(IFERROR(VALUE($E20),0)&lt;=$U20,"Ribasso non migliorativo",""))))))</f>
        <v/>
      </c>
      <c r="S20" s="21">
        <f>IF($H20="","",IFERROR(INDEX(Offerte!$F$2:$F$200,MATCH($A20&amp;"|"&amp;$H20,Offerte!$L$2:$L$200,0)),0))</f>
        <v/>
      </c>
      <c r="T20" s="21">
        <f>IF($I20="","",IFERROR(INDEX(Offerte!$F$2:$F$200,MATCH($A20&amp;"|"&amp;$I20,Offerte!$L$2:$L$200,0)),0))</f>
        <v/>
      </c>
      <c r="U20" s="21">
        <f>IF($A20="","",ROUND((IFERROR(VALUE($S20),0)+IFERROR(VALUE($T20),0))/2,4))</f>
        <v/>
      </c>
      <c r="V20" s="21">
        <f>IF($A20="","",$C20&amp;"|"&amp;TEXT($Q20,"0.0000"))</f>
        <v/>
      </c>
      <c r="W20" s="21">
        <f>IF($A20="","",$C20&amp;"|"&amp;$A20)</f>
        <v/>
      </c>
    </row>
    <row r="21">
      <c r="A21" s="20" t="n"/>
      <c r="B21" s="20">
        <f>IF($A21="","",IFERROR(INDEX(Offerte!$B$2:$B$200,MATCH($A21,Offerte!$A$2:$A$200,0)),""))</f>
        <v/>
      </c>
      <c r="C21" s="20" t="n"/>
      <c r="D21" s="20" t="n"/>
      <c r="E21" s="20" t="n"/>
      <c r="F21" s="20" t="n"/>
      <c r="G21" s="20" t="n"/>
      <c r="H21" s="21">
        <f>IF($C21="L1+L2","L1",IF($C21="L2+L3","L2",IF($C21="L3+L4","L3",IF($C21="L1+L4","L1",""))))</f>
        <v/>
      </c>
      <c r="I21" s="21">
        <f>IF($C21="L1+L2","L2",IF($C21="L2+L3","L3",IF($C21="L3+L4","L4",IF($C21="L1+L4","L4",""))))</f>
        <v/>
      </c>
      <c r="J21" s="21">
        <f>IF($H21="","",IFERROR(INDEX(Offerte!$D$2:$D$200,MATCH($A21&amp;"|"&amp;$H21,Offerte!$L$2:$L$200,0)),0))</f>
        <v/>
      </c>
      <c r="K21" s="21">
        <f>IF($I21="","",IFERROR(INDEX(Offerte!$D$2:$D$200,MATCH($A21&amp;"|"&amp;$I21,Offerte!$L$2:$L$200,0)),0))</f>
        <v/>
      </c>
      <c r="L21" s="21">
        <f>IF($H21="","",IFERROR(INDEX(Offerte!$E$2:$E$200,MATCH($A21&amp;"|"&amp;$H21,Offerte!$L$2:$L$200,0)),0))</f>
        <v/>
      </c>
      <c r="M21" s="21">
        <f>IF($I21="","",IFERROR(INDEX(Offerte!$E$2:$E$200,MATCH($A21&amp;"|"&amp;$I21,Offerte!$L$2:$L$200,0)),0))</f>
        <v/>
      </c>
      <c r="N21" s="21">
        <f>IF($A21="","",IF(IFERROR(VALUE($D21),0)&lt;&gt;1,"NO",IF(AND(IFERROR(VALUE($J21),0)=1,IFERROR(VALUE($K21),0)=1,IFERROR(VALUE($L21),0)&gt;=Parametri!$B$2,IFERROR(VALUE($M21),0)&gt;=Parametri!$B$2,IFERROR(VALUE($F21),0)=1,IFERROR(VALUE($G21),0)=1,IFERROR(VALUE($E21),0)&gt;$U21),"SI","NO")))</f>
        <v/>
      </c>
      <c r="O21" s="21">
        <f>IF($N21="SI",IFERROR(30*(IFERROR(VALUE($E21),0)/MAX(SUMPRODUCT(MAX((Offerte!$C$2:$C$200=$H21)*(IFERROR(Offerte!$D$2:$D$200*1,0)=1)*(IFERROR(Offerte!$E$2:$E$200*1,0)&gt;=Parametri!$B$2)*IFERROR(Offerte!$F$2:$F$200*1,0))),SUMPRODUCT(MAX(($H$5:$H$80=$H21)*($N$5:$N$80="SI")*IFERROR($E$5:$E$80*1,0))),SUMPRODUCT(MAX(($I$5:$I$80=$H21)*($N$5:$N$80="SI")*IFERROR($E$5:$E$80*1,0))))),0),0)</f>
        <v/>
      </c>
      <c r="P21" s="21">
        <f>IF($N21="SI",IFERROR(30*(IFERROR(VALUE($E21),0)/MAX(SUMPRODUCT(MAX((Offerte!$C$2:$C$200=$I21)*(IFERROR(Offerte!$D$2:$D$200*1,0)=1)*(IFERROR(Offerte!$E$2:$E$200*1,0)&gt;=Parametri!$B$2)*IFERROR(Offerte!$F$2:$F$200*1,0))),SUMPRODUCT(MAX(($H$5:$H$80=$I21)*($N$5:$N$80="SI")*IFERROR($E$5:$E$80*1,0))),SUMPRODUCT(MAX(($I$5:$I$80=$I21)*($N$5:$N$80="SI")*IFERROR($E$5:$E$80*1,0))))),0),0)</f>
        <v/>
      </c>
      <c r="Q21" s="21">
        <f>IF($N21="SI",ROUND($L21+$M21+$O21+$P21,4),0)</f>
        <v/>
      </c>
      <c r="R21" s="21">
        <f>IF($A21="","",IF(IFERROR(VALUE($D21),0)&lt;&gt;1,"Non attiva",IF(OR(IFERROR(VALUE($J21),0)&lt;&gt;1,IFERROR(VALUE($K21),0)&lt;&gt;1),"Singoli non attivi",IF(OR(IFERROR(VALUE($L21),0)&lt;Parametri!$B$2,IFERROR(VALUE($M21),0)&lt;Parametri!$B$2),"Soglia non superata",IF(OR(IFERROR(VALUE($F21),0)&lt;&gt;1,IFERROR(VALUE($G21),0)&lt;&gt;1),"Buste/PEF non confermati",IF(IFERROR(VALUE($E21),0)&lt;=$U21,"Ribasso non migliorativo",""))))))</f>
        <v/>
      </c>
      <c r="S21" s="21">
        <f>IF($H21="","",IFERROR(INDEX(Offerte!$F$2:$F$200,MATCH($A21&amp;"|"&amp;$H21,Offerte!$L$2:$L$200,0)),0))</f>
        <v/>
      </c>
      <c r="T21" s="21">
        <f>IF($I21="","",IFERROR(INDEX(Offerte!$F$2:$F$200,MATCH($A21&amp;"|"&amp;$I21,Offerte!$L$2:$L$200,0)),0))</f>
        <v/>
      </c>
      <c r="U21" s="21">
        <f>IF($A21="","",ROUND((IFERROR(VALUE($S21),0)+IFERROR(VALUE($T21),0))/2,4))</f>
        <v/>
      </c>
      <c r="V21" s="21">
        <f>IF($A21="","",$C21&amp;"|"&amp;TEXT($Q21,"0.0000"))</f>
        <v/>
      </c>
      <c r="W21" s="21">
        <f>IF($A21="","",$C21&amp;"|"&amp;$A21)</f>
        <v/>
      </c>
    </row>
    <row r="22">
      <c r="A22" s="20" t="n"/>
      <c r="B22" s="20">
        <f>IF($A22="","",IFERROR(INDEX(Offerte!$B$2:$B$200,MATCH($A22,Offerte!$A$2:$A$200,0)),""))</f>
        <v/>
      </c>
      <c r="C22" s="20" t="n"/>
      <c r="D22" s="20" t="n"/>
      <c r="E22" s="20" t="n"/>
      <c r="F22" s="20" t="n"/>
      <c r="G22" s="20" t="n"/>
      <c r="H22" s="21">
        <f>IF($C22="L1+L2","L1",IF($C22="L2+L3","L2",IF($C22="L3+L4","L3",IF($C22="L1+L4","L1",""))))</f>
        <v/>
      </c>
      <c r="I22" s="21">
        <f>IF($C22="L1+L2","L2",IF($C22="L2+L3","L3",IF($C22="L3+L4","L4",IF($C22="L1+L4","L4",""))))</f>
        <v/>
      </c>
      <c r="J22" s="21">
        <f>IF($H22="","",IFERROR(INDEX(Offerte!$D$2:$D$200,MATCH($A22&amp;"|"&amp;$H22,Offerte!$L$2:$L$200,0)),0))</f>
        <v/>
      </c>
      <c r="K22" s="21">
        <f>IF($I22="","",IFERROR(INDEX(Offerte!$D$2:$D$200,MATCH($A22&amp;"|"&amp;$I22,Offerte!$L$2:$L$200,0)),0))</f>
        <v/>
      </c>
      <c r="L22" s="21">
        <f>IF($H22="","",IFERROR(INDEX(Offerte!$E$2:$E$200,MATCH($A22&amp;"|"&amp;$H22,Offerte!$L$2:$L$200,0)),0))</f>
        <v/>
      </c>
      <c r="M22" s="21">
        <f>IF($I22="","",IFERROR(INDEX(Offerte!$E$2:$E$200,MATCH($A22&amp;"|"&amp;$I22,Offerte!$L$2:$L$200,0)),0))</f>
        <v/>
      </c>
      <c r="N22" s="21">
        <f>IF($A22="","",IF(IFERROR(VALUE($D22),0)&lt;&gt;1,"NO",IF(AND(IFERROR(VALUE($J22),0)=1,IFERROR(VALUE($K22),0)=1,IFERROR(VALUE($L22),0)&gt;=Parametri!$B$2,IFERROR(VALUE($M22),0)&gt;=Parametri!$B$2,IFERROR(VALUE($F22),0)=1,IFERROR(VALUE($G22),0)=1,IFERROR(VALUE($E22),0)&gt;$U22),"SI","NO")))</f>
        <v/>
      </c>
      <c r="O22" s="21">
        <f>IF($N22="SI",IFERROR(30*(IFERROR(VALUE($E22),0)/MAX(SUMPRODUCT(MAX((Offerte!$C$2:$C$200=$H22)*(IFERROR(Offerte!$D$2:$D$200*1,0)=1)*(IFERROR(Offerte!$E$2:$E$200*1,0)&gt;=Parametri!$B$2)*IFERROR(Offerte!$F$2:$F$200*1,0))),SUMPRODUCT(MAX(($H$5:$H$80=$H22)*($N$5:$N$80="SI")*IFERROR($E$5:$E$80*1,0))),SUMPRODUCT(MAX(($I$5:$I$80=$H22)*($N$5:$N$80="SI")*IFERROR($E$5:$E$80*1,0))))),0),0)</f>
        <v/>
      </c>
      <c r="P22" s="21">
        <f>IF($N22="SI",IFERROR(30*(IFERROR(VALUE($E22),0)/MAX(SUMPRODUCT(MAX((Offerte!$C$2:$C$200=$I22)*(IFERROR(Offerte!$D$2:$D$200*1,0)=1)*(IFERROR(Offerte!$E$2:$E$200*1,0)&gt;=Parametri!$B$2)*IFERROR(Offerte!$F$2:$F$200*1,0))),SUMPRODUCT(MAX(($H$5:$H$80=$I22)*($N$5:$N$80="SI")*IFERROR($E$5:$E$80*1,0))),SUMPRODUCT(MAX(($I$5:$I$80=$I22)*($N$5:$N$80="SI")*IFERROR($E$5:$E$80*1,0))))),0),0)</f>
        <v/>
      </c>
      <c r="Q22" s="21">
        <f>IF($N22="SI",ROUND($L22+$M22+$O22+$P22,4),0)</f>
        <v/>
      </c>
      <c r="R22" s="21">
        <f>IF($A22="","",IF(IFERROR(VALUE($D22),0)&lt;&gt;1,"Non attiva",IF(OR(IFERROR(VALUE($J22),0)&lt;&gt;1,IFERROR(VALUE($K22),0)&lt;&gt;1),"Singoli non attivi",IF(OR(IFERROR(VALUE($L22),0)&lt;Parametri!$B$2,IFERROR(VALUE($M22),0)&lt;Parametri!$B$2),"Soglia non superata",IF(OR(IFERROR(VALUE($F22),0)&lt;&gt;1,IFERROR(VALUE($G22),0)&lt;&gt;1),"Buste/PEF non confermati",IF(IFERROR(VALUE($E22),0)&lt;=$U22,"Ribasso non migliorativo",""))))))</f>
        <v/>
      </c>
      <c r="S22" s="21">
        <f>IF($H22="","",IFERROR(INDEX(Offerte!$F$2:$F$200,MATCH($A22&amp;"|"&amp;$H22,Offerte!$L$2:$L$200,0)),0))</f>
        <v/>
      </c>
      <c r="T22" s="21">
        <f>IF($I22="","",IFERROR(INDEX(Offerte!$F$2:$F$200,MATCH($A22&amp;"|"&amp;$I22,Offerte!$L$2:$L$200,0)),0))</f>
        <v/>
      </c>
      <c r="U22" s="21">
        <f>IF($A22="","",ROUND((IFERROR(VALUE($S22),0)+IFERROR(VALUE($T22),0))/2,4))</f>
        <v/>
      </c>
      <c r="V22" s="21">
        <f>IF($A22="","",$C22&amp;"|"&amp;TEXT($Q22,"0.0000"))</f>
        <v/>
      </c>
      <c r="W22" s="21">
        <f>IF($A22="","",$C22&amp;"|"&amp;$A22)</f>
        <v/>
      </c>
    </row>
    <row r="23">
      <c r="A23" s="20" t="n"/>
      <c r="B23" s="20">
        <f>IF($A23="","",IFERROR(INDEX(Offerte!$B$2:$B$200,MATCH($A23,Offerte!$A$2:$A$200,0)),""))</f>
        <v/>
      </c>
      <c r="C23" s="20" t="n"/>
      <c r="D23" s="20" t="n"/>
      <c r="E23" s="20" t="n"/>
      <c r="F23" s="20" t="n"/>
      <c r="G23" s="20" t="n"/>
      <c r="H23" s="21">
        <f>IF($C23="L1+L2","L1",IF($C23="L2+L3","L2",IF($C23="L3+L4","L3",IF($C23="L1+L4","L1",""))))</f>
        <v/>
      </c>
      <c r="I23" s="21">
        <f>IF($C23="L1+L2","L2",IF($C23="L2+L3","L3",IF($C23="L3+L4","L4",IF($C23="L1+L4","L4",""))))</f>
        <v/>
      </c>
      <c r="J23" s="21">
        <f>IF($H23="","",IFERROR(INDEX(Offerte!$D$2:$D$200,MATCH($A23&amp;"|"&amp;$H23,Offerte!$L$2:$L$200,0)),0))</f>
        <v/>
      </c>
      <c r="K23" s="21">
        <f>IF($I23="","",IFERROR(INDEX(Offerte!$D$2:$D$200,MATCH($A23&amp;"|"&amp;$I23,Offerte!$L$2:$L$200,0)),0))</f>
        <v/>
      </c>
      <c r="L23" s="21">
        <f>IF($H23="","",IFERROR(INDEX(Offerte!$E$2:$E$200,MATCH($A23&amp;"|"&amp;$H23,Offerte!$L$2:$L$200,0)),0))</f>
        <v/>
      </c>
      <c r="M23" s="21">
        <f>IF($I23="","",IFERROR(INDEX(Offerte!$E$2:$E$200,MATCH($A23&amp;"|"&amp;$I23,Offerte!$L$2:$L$200,0)),0))</f>
        <v/>
      </c>
      <c r="N23" s="21">
        <f>IF($A23="","",IF(IFERROR(VALUE($D23),0)&lt;&gt;1,"NO",IF(AND(IFERROR(VALUE($J23),0)=1,IFERROR(VALUE($K23),0)=1,IFERROR(VALUE($L23),0)&gt;=Parametri!$B$2,IFERROR(VALUE($M23),0)&gt;=Parametri!$B$2,IFERROR(VALUE($F23),0)=1,IFERROR(VALUE($G23),0)=1,IFERROR(VALUE($E23),0)&gt;$U23),"SI","NO")))</f>
        <v/>
      </c>
      <c r="O23" s="21">
        <f>IF($N23="SI",IFERROR(30*(IFERROR(VALUE($E23),0)/MAX(SUMPRODUCT(MAX((Offerte!$C$2:$C$200=$H23)*(IFERROR(Offerte!$D$2:$D$200*1,0)=1)*(IFERROR(Offerte!$E$2:$E$200*1,0)&gt;=Parametri!$B$2)*IFERROR(Offerte!$F$2:$F$200*1,0))),SUMPRODUCT(MAX(($H$5:$H$80=$H23)*($N$5:$N$80="SI")*IFERROR($E$5:$E$80*1,0))),SUMPRODUCT(MAX(($I$5:$I$80=$H23)*($N$5:$N$80="SI")*IFERROR($E$5:$E$80*1,0))))),0),0)</f>
        <v/>
      </c>
      <c r="P23" s="21">
        <f>IF($N23="SI",IFERROR(30*(IFERROR(VALUE($E23),0)/MAX(SUMPRODUCT(MAX((Offerte!$C$2:$C$200=$I23)*(IFERROR(Offerte!$D$2:$D$200*1,0)=1)*(IFERROR(Offerte!$E$2:$E$200*1,0)&gt;=Parametri!$B$2)*IFERROR(Offerte!$F$2:$F$200*1,0))),SUMPRODUCT(MAX(($H$5:$H$80=$I23)*($N$5:$N$80="SI")*IFERROR($E$5:$E$80*1,0))),SUMPRODUCT(MAX(($I$5:$I$80=$I23)*($N$5:$N$80="SI")*IFERROR($E$5:$E$80*1,0))))),0),0)</f>
        <v/>
      </c>
      <c r="Q23" s="21">
        <f>IF($N23="SI",ROUND($L23+$M23+$O23+$P23,4),0)</f>
        <v/>
      </c>
      <c r="R23" s="21">
        <f>IF($A23="","",IF(IFERROR(VALUE($D23),0)&lt;&gt;1,"Non attiva",IF(OR(IFERROR(VALUE($J23),0)&lt;&gt;1,IFERROR(VALUE($K23),0)&lt;&gt;1),"Singoli non attivi",IF(OR(IFERROR(VALUE($L23),0)&lt;Parametri!$B$2,IFERROR(VALUE($M23),0)&lt;Parametri!$B$2),"Soglia non superata",IF(OR(IFERROR(VALUE($F23),0)&lt;&gt;1,IFERROR(VALUE($G23),0)&lt;&gt;1),"Buste/PEF non confermati",IF(IFERROR(VALUE($E23),0)&lt;=$U23,"Ribasso non migliorativo",""))))))</f>
        <v/>
      </c>
      <c r="S23" s="21">
        <f>IF($H23="","",IFERROR(INDEX(Offerte!$F$2:$F$200,MATCH($A23&amp;"|"&amp;$H23,Offerte!$L$2:$L$200,0)),0))</f>
        <v/>
      </c>
      <c r="T23" s="21">
        <f>IF($I23="","",IFERROR(INDEX(Offerte!$F$2:$F$200,MATCH($A23&amp;"|"&amp;$I23,Offerte!$L$2:$L$200,0)),0))</f>
        <v/>
      </c>
      <c r="U23" s="21">
        <f>IF($A23="","",ROUND((IFERROR(VALUE($S23),0)+IFERROR(VALUE($T23),0))/2,4))</f>
        <v/>
      </c>
      <c r="V23" s="21">
        <f>IF($A23="","",$C23&amp;"|"&amp;TEXT($Q23,"0.0000"))</f>
        <v/>
      </c>
      <c r="W23" s="21">
        <f>IF($A23="","",$C23&amp;"|"&amp;$A23)</f>
        <v/>
      </c>
    </row>
    <row r="24">
      <c r="A24" s="20" t="n"/>
      <c r="B24" s="20">
        <f>IF($A24="","",IFERROR(INDEX(Offerte!$B$2:$B$200,MATCH($A24,Offerte!$A$2:$A$200,0)),""))</f>
        <v/>
      </c>
      <c r="C24" s="20" t="n"/>
      <c r="D24" s="20" t="n"/>
      <c r="E24" s="20" t="n"/>
      <c r="F24" s="20" t="n"/>
      <c r="G24" s="20" t="n"/>
      <c r="H24" s="21">
        <f>IF($C24="L1+L2","L1",IF($C24="L2+L3","L2",IF($C24="L3+L4","L3",IF($C24="L1+L4","L1",""))))</f>
        <v/>
      </c>
      <c r="I24" s="21">
        <f>IF($C24="L1+L2","L2",IF($C24="L2+L3","L3",IF($C24="L3+L4","L4",IF($C24="L1+L4","L4",""))))</f>
        <v/>
      </c>
      <c r="J24" s="21">
        <f>IF($H24="","",IFERROR(INDEX(Offerte!$D$2:$D$200,MATCH($A24&amp;"|"&amp;$H24,Offerte!$L$2:$L$200,0)),0))</f>
        <v/>
      </c>
      <c r="K24" s="21">
        <f>IF($I24="","",IFERROR(INDEX(Offerte!$D$2:$D$200,MATCH($A24&amp;"|"&amp;$I24,Offerte!$L$2:$L$200,0)),0))</f>
        <v/>
      </c>
      <c r="L24" s="21">
        <f>IF($H24="","",IFERROR(INDEX(Offerte!$E$2:$E$200,MATCH($A24&amp;"|"&amp;$H24,Offerte!$L$2:$L$200,0)),0))</f>
        <v/>
      </c>
      <c r="M24" s="21">
        <f>IF($I24="","",IFERROR(INDEX(Offerte!$E$2:$E$200,MATCH($A24&amp;"|"&amp;$I24,Offerte!$L$2:$L$200,0)),0))</f>
        <v/>
      </c>
      <c r="N24" s="21">
        <f>IF($A24="","",IF(IFERROR(VALUE($D24),0)&lt;&gt;1,"NO",IF(AND(IFERROR(VALUE($J24),0)=1,IFERROR(VALUE($K24),0)=1,IFERROR(VALUE($L24),0)&gt;=Parametri!$B$2,IFERROR(VALUE($M24),0)&gt;=Parametri!$B$2,IFERROR(VALUE($F24),0)=1,IFERROR(VALUE($G24),0)=1,IFERROR(VALUE($E24),0)&gt;$U24),"SI","NO")))</f>
        <v/>
      </c>
      <c r="O24" s="21">
        <f>IF($N24="SI",IFERROR(30*(IFERROR(VALUE($E24),0)/MAX(SUMPRODUCT(MAX((Offerte!$C$2:$C$200=$H24)*(IFERROR(Offerte!$D$2:$D$200*1,0)=1)*(IFERROR(Offerte!$E$2:$E$200*1,0)&gt;=Parametri!$B$2)*IFERROR(Offerte!$F$2:$F$200*1,0))),SUMPRODUCT(MAX(($H$5:$H$80=$H24)*($N$5:$N$80="SI")*IFERROR($E$5:$E$80*1,0))),SUMPRODUCT(MAX(($I$5:$I$80=$H24)*($N$5:$N$80="SI")*IFERROR($E$5:$E$80*1,0))))),0),0)</f>
        <v/>
      </c>
      <c r="P24" s="21">
        <f>IF($N24="SI",IFERROR(30*(IFERROR(VALUE($E24),0)/MAX(SUMPRODUCT(MAX((Offerte!$C$2:$C$200=$I24)*(IFERROR(Offerte!$D$2:$D$200*1,0)=1)*(IFERROR(Offerte!$E$2:$E$200*1,0)&gt;=Parametri!$B$2)*IFERROR(Offerte!$F$2:$F$200*1,0))),SUMPRODUCT(MAX(($H$5:$H$80=$I24)*($N$5:$N$80="SI")*IFERROR($E$5:$E$80*1,0))),SUMPRODUCT(MAX(($I$5:$I$80=$I24)*($N$5:$N$80="SI")*IFERROR($E$5:$E$80*1,0))))),0),0)</f>
        <v/>
      </c>
      <c r="Q24" s="21">
        <f>IF($N24="SI",ROUND($L24+$M24+$O24+$P24,4),0)</f>
        <v/>
      </c>
      <c r="R24" s="21">
        <f>IF($A24="","",IF(IFERROR(VALUE($D24),0)&lt;&gt;1,"Non attiva",IF(OR(IFERROR(VALUE($J24),0)&lt;&gt;1,IFERROR(VALUE($K24),0)&lt;&gt;1),"Singoli non attivi",IF(OR(IFERROR(VALUE($L24),0)&lt;Parametri!$B$2,IFERROR(VALUE($M24),0)&lt;Parametri!$B$2),"Soglia non superata",IF(OR(IFERROR(VALUE($F24),0)&lt;&gt;1,IFERROR(VALUE($G24),0)&lt;&gt;1),"Buste/PEF non confermati",IF(IFERROR(VALUE($E24),0)&lt;=$U24,"Ribasso non migliorativo",""))))))</f>
        <v/>
      </c>
      <c r="S24" s="21">
        <f>IF($H24="","",IFERROR(INDEX(Offerte!$F$2:$F$200,MATCH($A24&amp;"|"&amp;$H24,Offerte!$L$2:$L$200,0)),0))</f>
        <v/>
      </c>
      <c r="T24" s="21">
        <f>IF($I24="","",IFERROR(INDEX(Offerte!$F$2:$F$200,MATCH($A24&amp;"|"&amp;$I24,Offerte!$L$2:$L$200,0)),0))</f>
        <v/>
      </c>
      <c r="U24" s="21">
        <f>IF($A24="","",ROUND((IFERROR(VALUE($S24),0)+IFERROR(VALUE($T24),0))/2,4))</f>
        <v/>
      </c>
      <c r="V24" s="21">
        <f>IF($A24="","",$C24&amp;"|"&amp;TEXT($Q24,"0.0000"))</f>
        <v/>
      </c>
      <c r="W24" s="21">
        <f>IF($A24="","",$C24&amp;"|"&amp;$A24)</f>
        <v/>
      </c>
    </row>
    <row r="25">
      <c r="A25" s="20" t="n"/>
      <c r="B25" s="20">
        <f>IF($A25="","",IFERROR(INDEX(Offerte!$B$2:$B$200,MATCH($A25,Offerte!$A$2:$A$200,0)),""))</f>
        <v/>
      </c>
      <c r="C25" s="20" t="n"/>
      <c r="D25" s="20" t="n"/>
      <c r="E25" s="20" t="n"/>
      <c r="F25" s="20" t="n"/>
      <c r="G25" s="20" t="n"/>
      <c r="H25" s="21">
        <f>IF($C25="L1+L2","L1",IF($C25="L2+L3","L2",IF($C25="L3+L4","L3",IF($C25="L1+L4","L1",""))))</f>
        <v/>
      </c>
      <c r="I25" s="21">
        <f>IF($C25="L1+L2","L2",IF($C25="L2+L3","L3",IF($C25="L3+L4","L4",IF($C25="L1+L4","L4",""))))</f>
        <v/>
      </c>
      <c r="J25" s="21">
        <f>IF($H25="","",IFERROR(INDEX(Offerte!$D$2:$D$200,MATCH($A25&amp;"|"&amp;$H25,Offerte!$L$2:$L$200,0)),0))</f>
        <v/>
      </c>
      <c r="K25" s="21">
        <f>IF($I25="","",IFERROR(INDEX(Offerte!$D$2:$D$200,MATCH($A25&amp;"|"&amp;$I25,Offerte!$L$2:$L$200,0)),0))</f>
        <v/>
      </c>
      <c r="L25" s="21">
        <f>IF($H25="","",IFERROR(INDEX(Offerte!$E$2:$E$200,MATCH($A25&amp;"|"&amp;$H25,Offerte!$L$2:$L$200,0)),0))</f>
        <v/>
      </c>
      <c r="M25" s="21">
        <f>IF($I25="","",IFERROR(INDEX(Offerte!$E$2:$E$200,MATCH($A25&amp;"|"&amp;$I25,Offerte!$L$2:$L$200,0)),0))</f>
        <v/>
      </c>
      <c r="N25" s="21">
        <f>IF($A25="","",IF(IFERROR(VALUE($D25),0)&lt;&gt;1,"NO",IF(AND(IFERROR(VALUE($J25),0)=1,IFERROR(VALUE($K25),0)=1,IFERROR(VALUE($L25),0)&gt;=Parametri!$B$2,IFERROR(VALUE($M25),0)&gt;=Parametri!$B$2,IFERROR(VALUE($F25),0)=1,IFERROR(VALUE($G25),0)=1,IFERROR(VALUE($E25),0)&gt;$U25),"SI","NO")))</f>
        <v/>
      </c>
      <c r="O25" s="21">
        <f>IF($N25="SI",IFERROR(30*(IFERROR(VALUE($E25),0)/MAX(SUMPRODUCT(MAX((Offerte!$C$2:$C$200=$H25)*(IFERROR(Offerte!$D$2:$D$200*1,0)=1)*(IFERROR(Offerte!$E$2:$E$200*1,0)&gt;=Parametri!$B$2)*IFERROR(Offerte!$F$2:$F$200*1,0))),SUMPRODUCT(MAX(($H$5:$H$80=$H25)*($N$5:$N$80="SI")*IFERROR($E$5:$E$80*1,0))),SUMPRODUCT(MAX(($I$5:$I$80=$H25)*($N$5:$N$80="SI")*IFERROR($E$5:$E$80*1,0))))),0),0)</f>
        <v/>
      </c>
      <c r="P25" s="21">
        <f>IF($N25="SI",IFERROR(30*(IFERROR(VALUE($E25),0)/MAX(SUMPRODUCT(MAX((Offerte!$C$2:$C$200=$I25)*(IFERROR(Offerte!$D$2:$D$200*1,0)=1)*(IFERROR(Offerte!$E$2:$E$200*1,0)&gt;=Parametri!$B$2)*IFERROR(Offerte!$F$2:$F$200*1,0))),SUMPRODUCT(MAX(($H$5:$H$80=$I25)*($N$5:$N$80="SI")*IFERROR($E$5:$E$80*1,0))),SUMPRODUCT(MAX(($I$5:$I$80=$I25)*($N$5:$N$80="SI")*IFERROR($E$5:$E$80*1,0))))),0),0)</f>
        <v/>
      </c>
      <c r="Q25" s="21">
        <f>IF($N25="SI",ROUND($L25+$M25+$O25+$P25,4),0)</f>
        <v/>
      </c>
      <c r="R25" s="21">
        <f>IF($A25="","",IF(IFERROR(VALUE($D25),0)&lt;&gt;1,"Non attiva",IF(OR(IFERROR(VALUE($J25),0)&lt;&gt;1,IFERROR(VALUE($K25),0)&lt;&gt;1),"Singoli non attivi",IF(OR(IFERROR(VALUE($L25),0)&lt;Parametri!$B$2,IFERROR(VALUE($M25),0)&lt;Parametri!$B$2),"Soglia non superata",IF(OR(IFERROR(VALUE($F25),0)&lt;&gt;1,IFERROR(VALUE($G25),0)&lt;&gt;1),"Buste/PEF non confermati",IF(IFERROR(VALUE($E25),0)&lt;=$U25,"Ribasso non migliorativo",""))))))</f>
        <v/>
      </c>
      <c r="S25" s="21">
        <f>IF($H25="","",IFERROR(INDEX(Offerte!$F$2:$F$200,MATCH($A25&amp;"|"&amp;$H25,Offerte!$L$2:$L$200,0)),0))</f>
        <v/>
      </c>
      <c r="T25" s="21">
        <f>IF($I25="","",IFERROR(INDEX(Offerte!$F$2:$F$200,MATCH($A25&amp;"|"&amp;$I25,Offerte!$L$2:$L$200,0)),0))</f>
        <v/>
      </c>
      <c r="U25" s="21">
        <f>IF($A25="","",ROUND((IFERROR(VALUE($S25),0)+IFERROR(VALUE($T25),0))/2,4))</f>
        <v/>
      </c>
      <c r="V25" s="21">
        <f>IF($A25="","",$C25&amp;"|"&amp;TEXT($Q25,"0.0000"))</f>
        <v/>
      </c>
      <c r="W25" s="21">
        <f>IF($A25="","",$C25&amp;"|"&amp;$A25)</f>
        <v/>
      </c>
    </row>
    <row r="26">
      <c r="A26" s="20" t="n"/>
      <c r="B26" s="20">
        <f>IF($A26="","",IFERROR(INDEX(Offerte!$B$2:$B$200,MATCH($A26,Offerte!$A$2:$A$200,0)),""))</f>
        <v/>
      </c>
      <c r="C26" s="20" t="n"/>
      <c r="D26" s="20" t="n"/>
      <c r="E26" s="20" t="n"/>
      <c r="F26" s="20" t="n"/>
      <c r="G26" s="20" t="n"/>
      <c r="H26" s="21">
        <f>IF($C26="L1+L2","L1",IF($C26="L2+L3","L2",IF($C26="L3+L4","L3",IF($C26="L1+L4","L1",""))))</f>
        <v/>
      </c>
      <c r="I26" s="21">
        <f>IF($C26="L1+L2","L2",IF($C26="L2+L3","L3",IF($C26="L3+L4","L4",IF($C26="L1+L4","L4",""))))</f>
        <v/>
      </c>
      <c r="J26" s="21">
        <f>IF($H26="","",IFERROR(INDEX(Offerte!$D$2:$D$200,MATCH($A26&amp;"|"&amp;$H26,Offerte!$L$2:$L$200,0)),0))</f>
        <v/>
      </c>
      <c r="K26" s="21">
        <f>IF($I26="","",IFERROR(INDEX(Offerte!$D$2:$D$200,MATCH($A26&amp;"|"&amp;$I26,Offerte!$L$2:$L$200,0)),0))</f>
        <v/>
      </c>
      <c r="L26" s="21">
        <f>IF($H26="","",IFERROR(INDEX(Offerte!$E$2:$E$200,MATCH($A26&amp;"|"&amp;$H26,Offerte!$L$2:$L$200,0)),0))</f>
        <v/>
      </c>
      <c r="M26" s="21">
        <f>IF($I26="","",IFERROR(INDEX(Offerte!$E$2:$E$200,MATCH($A26&amp;"|"&amp;$I26,Offerte!$L$2:$L$200,0)),0))</f>
        <v/>
      </c>
      <c r="N26" s="21">
        <f>IF($A26="","",IF(IFERROR(VALUE($D26),0)&lt;&gt;1,"NO",IF(AND(IFERROR(VALUE($J26),0)=1,IFERROR(VALUE($K26),0)=1,IFERROR(VALUE($L26),0)&gt;=Parametri!$B$2,IFERROR(VALUE($M26),0)&gt;=Parametri!$B$2,IFERROR(VALUE($F26),0)=1,IFERROR(VALUE($G26),0)=1,IFERROR(VALUE($E26),0)&gt;$U26),"SI","NO")))</f>
        <v/>
      </c>
      <c r="O26" s="21">
        <f>IF($N26="SI",IFERROR(30*(IFERROR(VALUE($E26),0)/MAX(SUMPRODUCT(MAX((Offerte!$C$2:$C$200=$H26)*(IFERROR(Offerte!$D$2:$D$200*1,0)=1)*(IFERROR(Offerte!$E$2:$E$200*1,0)&gt;=Parametri!$B$2)*IFERROR(Offerte!$F$2:$F$200*1,0))),SUMPRODUCT(MAX(($H$5:$H$80=$H26)*($N$5:$N$80="SI")*IFERROR($E$5:$E$80*1,0))),SUMPRODUCT(MAX(($I$5:$I$80=$H26)*($N$5:$N$80="SI")*IFERROR($E$5:$E$80*1,0))))),0),0)</f>
        <v/>
      </c>
      <c r="P26" s="21">
        <f>IF($N26="SI",IFERROR(30*(IFERROR(VALUE($E26),0)/MAX(SUMPRODUCT(MAX((Offerte!$C$2:$C$200=$I26)*(IFERROR(Offerte!$D$2:$D$200*1,0)=1)*(IFERROR(Offerte!$E$2:$E$200*1,0)&gt;=Parametri!$B$2)*IFERROR(Offerte!$F$2:$F$200*1,0))),SUMPRODUCT(MAX(($H$5:$H$80=$I26)*($N$5:$N$80="SI")*IFERROR($E$5:$E$80*1,0))),SUMPRODUCT(MAX(($I$5:$I$80=$I26)*($N$5:$N$80="SI")*IFERROR($E$5:$E$80*1,0))))),0),0)</f>
        <v/>
      </c>
      <c r="Q26" s="21">
        <f>IF($N26="SI",ROUND($L26+$M26+$O26+$P26,4),0)</f>
        <v/>
      </c>
      <c r="R26" s="21">
        <f>IF($A26="","",IF(IFERROR(VALUE($D26),0)&lt;&gt;1,"Non attiva",IF(OR(IFERROR(VALUE($J26),0)&lt;&gt;1,IFERROR(VALUE($K26),0)&lt;&gt;1),"Singoli non attivi",IF(OR(IFERROR(VALUE($L26),0)&lt;Parametri!$B$2,IFERROR(VALUE($M26),0)&lt;Parametri!$B$2),"Soglia non superata",IF(OR(IFERROR(VALUE($F26),0)&lt;&gt;1,IFERROR(VALUE($G26),0)&lt;&gt;1),"Buste/PEF non confermati",IF(IFERROR(VALUE($E26),0)&lt;=$U26,"Ribasso non migliorativo",""))))))</f>
        <v/>
      </c>
      <c r="S26" s="21">
        <f>IF($H26="","",IFERROR(INDEX(Offerte!$F$2:$F$200,MATCH($A26&amp;"|"&amp;$H26,Offerte!$L$2:$L$200,0)),0))</f>
        <v/>
      </c>
      <c r="T26" s="21">
        <f>IF($I26="","",IFERROR(INDEX(Offerte!$F$2:$F$200,MATCH($A26&amp;"|"&amp;$I26,Offerte!$L$2:$L$200,0)),0))</f>
        <v/>
      </c>
      <c r="U26" s="21">
        <f>IF($A26="","",ROUND((IFERROR(VALUE($S26),0)+IFERROR(VALUE($T26),0))/2,4))</f>
        <v/>
      </c>
      <c r="V26" s="21">
        <f>IF($A26="","",$C26&amp;"|"&amp;TEXT($Q26,"0.0000"))</f>
        <v/>
      </c>
      <c r="W26" s="21">
        <f>IF($A26="","",$C26&amp;"|"&amp;$A26)</f>
        <v/>
      </c>
    </row>
    <row r="27">
      <c r="A27" s="20" t="n"/>
      <c r="B27" s="20">
        <f>IF($A27="","",IFERROR(INDEX(Offerte!$B$2:$B$200,MATCH($A27,Offerte!$A$2:$A$200,0)),""))</f>
        <v/>
      </c>
      <c r="C27" s="20" t="n"/>
      <c r="D27" s="20" t="n"/>
      <c r="E27" s="20" t="n"/>
      <c r="F27" s="20" t="n"/>
      <c r="G27" s="20" t="n"/>
      <c r="H27" s="21">
        <f>IF($C27="L1+L2","L1",IF($C27="L2+L3","L2",IF($C27="L3+L4","L3",IF($C27="L1+L4","L1",""))))</f>
        <v/>
      </c>
      <c r="I27" s="21">
        <f>IF($C27="L1+L2","L2",IF($C27="L2+L3","L3",IF($C27="L3+L4","L4",IF($C27="L1+L4","L4",""))))</f>
        <v/>
      </c>
      <c r="J27" s="21">
        <f>IF($H27="","",IFERROR(INDEX(Offerte!$D$2:$D$200,MATCH($A27&amp;"|"&amp;$H27,Offerte!$L$2:$L$200,0)),0))</f>
        <v/>
      </c>
      <c r="K27" s="21">
        <f>IF($I27="","",IFERROR(INDEX(Offerte!$D$2:$D$200,MATCH($A27&amp;"|"&amp;$I27,Offerte!$L$2:$L$200,0)),0))</f>
        <v/>
      </c>
      <c r="L27" s="21">
        <f>IF($H27="","",IFERROR(INDEX(Offerte!$E$2:$E$200,MATCH($A27&amp;"|"&amp;$H27,Offerte!$L$2:$L$200,0)),0))</f>
        <v/>
      </c>
      <c r="M27" s="21">
        <f>IF($I27="","",IFERROR(INDEX(Offerte!$E$2:$E$200,MATCH($A27&amp;"|"&amp;$I27,Offerte!$L$2:$L$200,0)),0))</f>
        <v/>
      </c>
      <c r="N27" s="21">
        <f>IF($A27="","",IF(IFERROR(VALUE($D27),0)&lt;&gt;1,"NO",IF(AND(IFERROR(VALUE($J27),0)=1,IFERROR(VALUE($K27),0)=1,IFERROR(VALUE($L27),0)&gt;=Parametri!$B$2,IFERROR(VALUE($M27),0)&gt;=Parametri!$B$2,IFERROR(VALUE($F27),0)=1,IFERROR(VALUE($G27),0)=1,IFERROR(VALUE($E27),0)&gt;$U27),"SI","NO")))</f>
        <v/>
      </c>
      <c r="O27" s="21">
        <f>IF($N27="SI",IFERROR(30*(IFERROR(VALUE($E27),0)/MAX(SUMPRODUCT(MAX((Offerte!$C$2:$C$200=$H27)*(IFERROR(Offerte!$D$2:$D$200*1,0)=1)*(IFERROR(Offerte!$E$2:$E$200*1,0)&gt;=Parametri!$B$2)*IFERROR(Offerte!$F$2:$F$200*1,0))),SUMPRODUCT(MAX(($H$5:$H$80=$H27)*($N$5:$N$80="SI")*IFERROR($E$5:$E$80*1,0))),SUMPRODUCT(MAX(($I$5:$I$80=$H27)*($N$5:$N$80="SI")*IFERROR($E$5:$E$80*1,0))))),0),0)</f>
        <v/>
      </c>
      <c r="P27" s="21">
        <f>IF($N27="SI",IFERROR(30*(IFERROR(VALUE($E27),0)/MAX(SUMPRODUCT(MAX((Offerte!$C$2:$C$200=$I27)*(IFERROR(Offerte!$D$2:$D$200*1,0)=1)*(IFERROR(Offerte!$E$2:$E$200*1,0)&gt;=Parametri!$B$2)*IFERROR(Offerte!$F$2:$F$200*1,0))),SUMPRODUCT(MAX(($H$5:$H$80=$I27)*($N$5:$N$80="SI")*IFERROR($E$5:$E$80*1,0))),SUMPRODUCT(MAX(($I$5:$I$80=$I27)*($N$5:$N$80="SI")*IFERROR($E$5:$E$80*1,0))))),0),0)</f>
        <v/>
      </c>
      <c r="Q27" s="21">
        <f>IF($N27="SI",ROUND($L27+$M27+$O27+$P27,4),0)</f>
        <v/>
      </c>
      <c r="R27" s="21">
        <f>IF($A27="","",IF(IFERROR(VALUE($D27),0)&lt;&gt;1,"Non attiva",IF(OR(IFERROR(VALUE($J27),0)&lt;&gt;1,IFERROR(VALUE($K27),0)&lt;&gt;1),"Singoli non attivi",IF(OR(IFERROR(VALUE($L27),0)&lt;Parametri!$B$2,IFERROR(VALUE($M27),0)&lt;Parametri!$B$2),"Soglia non superata",IF(OR(IFERROR(VALUE($F27),0)&lt;&gt;1,IFERROR(VALUE($G27),0)&lt;&gt;1),"Buste/PEF non confermati",IF(IFERROR(VALUE($E27),0)&lt;=$U27,"Ribasso non migliorativo",""))))))</f>
        <v/>
      </c>
      <c r="S27" s="21">
        <f>IF($H27="","",IFERROR(INDEX(Offerte!$F$2:$F$200,MATCH($A27&amp;"|"&amp;$H27,Offerte!$L$2:$L$200,0)),0))</f>
        <v/>
      </c>
      <c r="T27" s="21">
        <f>IF($I27="","",IFERROR(INDEX(Offerte!$F$2:$F$200,MATCH($A27&amp;"|"&amp;$I27,Offerte!$L$2:$L$200,0)),0))</f>
        <v/>
      </c>
      <c r="U27" s="21">
        <f>IF($A27="","",ROUND((IFERROR(VALUE($S27),0)+IFERROR(VALUE($T27),0))/2,4))</f>
        <v/>
      </c>
      <c r="V27" s="21">
        <f>IF($A27="","",$C27&amp;"|"&amp;TEXT($Q27,"0.0000"))</f>
        <v/>
      </c>
      <c r="W27" s="21">
        <f>IF($A27="","",$C27&amp;"|"&amp;$A27)</f>
        <v/>
      </c>
    </row>
    <row r="28">
      <c r="A28" s="20" t="n"/>
      <c r="B28" s="20">
        <f>IF($A28="","",IFERROR(INDEX(Offerte!$B$2:$B$200,MATCH($A28,Offerte!$A$2:$A$200,0)),""))</f>
        <v/>
      </c>
      <c r="C28" s="20" t="n"/>
      <c r="D28" s="20" t="n"/>
      <c r="E28" s="20" t="n"/>
      <c r="F28" s="20" t="n"/>
      <c r="G28" s="20" t="n"/>
      <c r="H28" s="21">
        <f>IF($C28="L1+L2","L1",IF($C28="L2+L3","L2",IF($C28="L3+L4","L3",IF($C28="L1+L4","L1",""))))</f>
        <v/>
      </c>
      <c r="I28" s="21">
        <f>IF($C28="L1+L2","L2",IF($C28="L2+L3","L3",IF($C28="L3+L4","L4",IF($C28="L1+L4","L4",""))))</f>
        <v/>
      </c>
      <c r="J28" s="21">
        <f>IF($H28="","",IFERROR(INDEX(Offerte!$D$2:$D$200,MATCH($A28&amp;"|"&amp;$H28,Offerte!$L$2:$L$200,0)),0))</f>
        <v/>
      </c>
      <c r="K28" s="21">
        <f>IF($I28="","",IFERROR(INDEX(Offerte!$D$2:$D$200,MATCH($A28&amp;"|"&amp;$I28,Offerte!$L$2:$L$200,0)),0))</f>
        <v/>
      </c>
      <c r="L28" s="21">
        <f>IF($H28="","",IFERROR(INDEX(Offerte!$E$2:$E$200,MATCH($A28&amp;"|"&amp;$H28,Offerte!$L$2:$L$200,0)),0))</f>
        <v/>
      </c>
      <c r="M28" s="21">
        <f>IF($I28="","",IFERROR(INDEX(Offerte!$E$2:$E$200,MATCH($A28&amp;"|"&amp;$I28,Offerte!$L$2:$L$200,0)),0))</f>
        <v/>
      </c>
      <c r="N28" s="21">
        <f>IF($A28="","",IF(IFERROR(VALUE($D28),0)&lt;&gt;1,"NO",IF(AND(IFERROR(VALUE($J28),0)=1,IFERROR(VALUE($K28),0)=1,IFERROR(VALUE($L28),0)&gt;=Parametri!$B$2,IFERROR(VALUE($M28),0)&gt;=Parametri!$B$2,IFERROR(VALUE($F28),0)=1,IFERROR(VALUE($G28),0)=1,IFERROR(VALUE($E28),0)&gt;$U28),"SI","NO")))</f>
        <v/>
      </c>
      <c r="O28" s="21">
        <f>IF($N28="SI",IFERROR(30*(IFERROR(VALUE($E28),0)/MAX(SUMPRODUCT(MAX((Offerte!$C$2:$C$200=$H28)*(IFERROR(Offerte!$D$2:$D$200*1,0)=1)*(IFERROR(Offerte!$E$2:$E$200*1,0)&gt;=Parametri!$B$2)*IFERROR(Offerte!$F$2:$F$200*1,0))),SUMPRODUCT(MAX(($H$5:$H$80=$H28)*($N$5:$N$80="SI")*IFERROR($E$5:$E$80*1,0))),SUMPRODUCT(MAX(($I$5:$I$80=$H28)*($N$5:$N$80="SI")*IFERROR($E$5:$E$80*1,0))))),0),0)</f>
        <v/>
      </c>
      <c r="P28" s="21">
        <f>IF($N28="SI",IFERROR(30*(IFERROR(VALUE($E28),0)/MAX(SUMPRODUCT(MAX((Offerte!$C$2:$C$200=$I28)*(IFERROR(Offerte!$D$2:$D$200*1,0)=1)*(IFERROR(Offerte!$E$2:$E$200*1,0)&gt;=Parametri!$B$2)*IFERROR(Offerte!$F$2:$F$200*1,0))),SUMPRODUCT(MAX(($H$5:$H$80=$I28)*($N$5:$N$80="SI")*IFERROR($E$5:$E$80*1,0))),SUMPRODUCT(MAX(($I$5:$I$80=$I28)*($N$5:$N$80="SI")*IFERROR($E$5:$E$80*1,0))))),0),0)</f>
        <v/>
      </c>
      <c r="Q28" s="21">
        <f>IF($N28="SI",ROUND($L28+$M28+$O28+$P28,4),0)</f>
        <v/>
      </c>
      <c r="R28" s="21">
        <f>IF($A28="","",IF(IFERROR(VALUE($D28),0)&lt;&gt;1,"Non attiva",IF(OR(IFERROR(VALUE($J28),0)&lt;&gt;1,IFERROR(VALUE($K28),0)&lt;&gt;1),"Singoli non attivi",IF(OR(IFERROR(VALUE($L28),0)&lt;Parametri!$B$2,IFERROR(VALUE($M28),0)&lt;Parametri!$B$2),"Soglia non superata",IF(OR(IFERROR(VALUE($F28),0)&lt;&gt;1,IFERROR(VALUE($G28),0)&lt;&gt;1),"Buste/PEF non confermati",IF(IFERROR(VALUE($E28),0)&lt;=$U28,"Ribasso non migliorativo",""))))))</f>
        <v/>
      </c>
      <c r="S28" s="21">
        <f>IF($H28="","",IFERROR(INDEX(Offerte!$F$2:$F$200,MATCH($A28&amp;"|"&amp;$H28,Offerte!$L$2:$L$200,0)),0))</f>
        <v/>
      </c>
      <c r="T28" s="21">
        <f>IF($I28="","",IFERROR(INDEX(Offerte!$F$2:$F$200,MATCH($A28&amp;"|"&amp;$I28,Offerte!$L$2:$L$200,0)),0))</f>
        <v/>
      </c>
      <c r="U28" s="21">
        <f>IF($A28="","",ROUND((IFERROR(VALUE($S28),0)+IFERROR(VALUE($T28),0))/2,4))</f>
        <v/>
      </c>
      <c r="V28" s="21">
        <f>IF($A28="","",$C28&amp;"|"&amp;TEXT($Q28,"0.0000"))</f>
        <v/>
      </c>
      <c r="W28" s="21">
        <f>IF($A28="","",$C28&amp;"|"&amp;$A28)</f>
        <v/>
      </c>
    </row>
    <row r="29">
      <c r="A29" s="20" t="n"/>
      <c r="B29" s="20">
        <f>IF($A29="","",IFERROR(INDEX(Offerte!$B$2:$B$200,MATCH($A29,Offerte!$A$2:$A$200,0)),""))</f>
        <v/>
      </c>
      <c r="C29" s="20" t="n"/>
      <c r="D29" s="20" t="n"/>
      <c r="E29" s="20" t="n"/>
      <c r="F29" s="20" t="n"/>
      <c r="G29" s="20" t="n"/>
      <c r="H29" s="21">
        <f>IF($C29="L1+L2","L1",IF($C29="L2+L3","L2",IF($C29="L3+L4","L3",IF($C29="L1+L4","L1",""))))</f>
        <v/>
      </c>
      <c r="I29" s="21">
        <f>IF($C29="L1+L2","L2",IF($C29="L2+L3","L3",IF($C29="L3+L4","L4",IF($C29="L1+L4","L4",""))))</f>
        <v/>
      </c>
      <c r="J29" s="21">
        <f>IF($H29="","",IFERROR(INDEX(Offerte!$D$2:$D$200,MATCH($A29&amp;"|"&amp;$H29,Offerte!$L$2:$L$200,0)),0))</f>
        <v/>
      </c>
      <c r="K29" s="21">
        <f>IF($I29="","",IFERROR(INDEX(Offerte!$D$2:$D$200,MATCH($A29&amp;"|"&amp;$I29,Offerte!$L$2:$L$200,0)),0))</f>
        <v/>
      </c>
      <c r="L29" s="21">
        <f>IF($H29="","",IFERROR(INDEX(Offerte!$E$2:$E$200,MATCH($A29&amp;"|"&amp;$H29,Offerte!$L$2:$L$200,0)),0))</f>
        <v/>
      </c>
      <c r="M29" s="21">
        <f>IF($I29="","",IFERROR(INDEX(Offerte!$E$2:$E$200,MATCH($A29&amp;"|"&amp;$I29,Offerte!$L$2:$L$200,0)),0))</f>
        <v/>
      </c>
      <c r="N29" s="21">
        <f>IF($A29="","",IF(IFERROR(VALUE($D29),0)&lt;&gt;1,"NO",IF(AND(IFERROR(VALUE($J29),0)=1,IFERROR(VALUE($K29),0)=1,IFERROR(VALUE($L29),0)&gt;=Parametri!$B$2,IFERROR(VALUE($M29),0)&gt;=Parametri!$B$2,IFERROR(VALUE($F29),0)=1,IFERROR(VALUE($G29),0)=1,IFERROR(VALUE($E29),0)&gt;$U29),"SI","NO")))</f>
        <v/>
      </c>
      <c r="O29" s="21">
        <f>IF($N29="SI",IFERROR(30*(IFERROR(VALUE($E29),0)/MAX(SUMPRODUCT(MAX((Offerte!$C$2:$C$200=$H29)*(IFERROR(Offerte!$D$2:$D$200*1,0)=1)*(IFERROR(Offerte!$E$2:$E$200*1,0)&gt;=Parametri!$B$2)*IFERROR(Offerte!$F$2:$F$200*1,0))),SUMPRODUCT(MAX(($H$5:$H$80=$H29)*($N$5:$N$80="SI")*IFERROR($E$5:$E$80*1,0))),SUMPRODUCT(MAX(($I$5:$I$80=$H29)*($N$5:$N$80="SI")*IFERROR($E$5:$E$80*1,0))))),0),0)</f>
        <v/>
      </c>
      <c r="P29" s="21">
        <f>IF($N29="SI",IFERROR(30*(IFERROR(VALUE($E29),0)/MAX(SUMPRODUCT(MAX((Offerte!$C$2:$C$200=$I29)*(IFERROR(Offerte!$D$2:$D$200*1,0)=1)*(IFERROR(Offerte!$E$2:$E$200*1,0)&gt;=Parametri!$B$2)*IFERROR(Offerte!$F$2:$F$200*1,0))),SUMPRODUCT(MAX(($H$5:$H$80=$I29)*($N$5:$N$80="SI")*IFERROR($E$5:$E$80*1,0))),SUMPRODUCT(MAX(($I$5:$I$80=$I29)*($N$5:$N$80="SI")*IFERROR($E$5:$E$80*1,0))))),0),0)</f>
        <v/>
      </c>
      <c r="Q29" s="21">
        <f>IF($N29="SI",ROUND($L29+$M29+$O29+$P29,4),0)</f>
        <v/>
      </c>
      <c r="R29" s="21">
        <f>IF($A29="","",IF(IFERROR(VALUE($D29),0)&lt;&gt;1,"Non attiva",IF(OR(IFERROR(VALUE($J29),0)&lt;&gt;1,IFERROR(VALUE($K29),0)&lt;&gt;1),"Singoli non attivi",IF(OR(IFERROR(VALUE($L29),0)&lt;Parametri!$B$2,IFERROR(VALUE($M29),0)&lt;Parametri!$B$2),"Soglia non superata",IF(OR(IFERROR(VALUE($F29),0)&lt;&gt;1,IFERROR(VALUE($G29),0)&lt;&gt;1),"Buste/PEF non confermati",IF(IFERROR(VALUE($E29),0)&lt;=$U29,"Ribasso non migliorativo",""))))))</f>
        <v/>
      </c>
      <c r="S29" s="21">
        <f>IF($H29="","",IFERROR(INDEX(Offerte!$F$2:$F$200,MATCH($A29&amp;"|"&amp;$H29,Offerte!$L$2:$L$200,0)),0))</f>
        <v/>
      </c>
      <c r="T29" s="21">
        <f>IF($I29="","",IFERROR(INDEX(Offerte!$F$2:$F$200,MATCH($A29&amp;"|"&amp;$I29,Offerte!$L$2:$L$200,0)),0))</f>
        <v/>
      </c>
      <c r="U29" s="21">
        <f>IF($A29="","",ROUND((IFERROR(VALUE($S29),0)+IFERROR(VALUE($T29),0))/2,4))</f>
        <v/>
      </c>
      <c r="V29" s="21">
        <f>IF($A29="","",$C29&amp;"|"&amp;TEXT($Q29,"0.0000"))</f>
        <v/>
      </c>
      <c r="W29" s="21">
        <f>IF($A29="","",$C29&amp;"|"&amp;$A29)</f>
        <v/>
      </c>
    </row>
    <row r="30">
      <c r="A30" s="20" t="n"/>
      <c r="B30" s="20">
        <f>IF($A30="","",IFERROR(INDEX(Offerte!$B$2:$B$200,MATCH($A30,Offerte!$A$2:$A$200,0)),""))</f>
        <v/>
      </c>
      <c r="C30" s="20" t="n"/>
      <c r="D30" s="20" t="n"/>
      <c r="E30" s="20" t="n"/>
      <c r="F30" s="20" t="n"/>
      <c r="G30" s="20" t="n"/>
      <c r="H30" s="21">
        <f>IF($C30="L1+L2","L1",IF($C30="L2+L3","L2",IF($C30="L3+L4","L3",IF($C30="L1+L4","L1",""))))</f>
        <v/>
      </c>
      <c r="I30" s="21">
        <f>IF($C30="L1+L2","L2",IF($C30="L2+L3","L3",IF($C30="L3+L4","L4",IF($C30="L1+L4","L4",""))))</f>
        <v/>
      </c>
      <c r="J30" s="21">
        <f>IF($H30="","",IFERROR(INDEX(Offerte!$D$2:$D$200,MATCH($A30&amp;"|"&amp;$H30,Offerte!$L$2:$L$200,0)),0))</f>
        <v/>
      </c>
      <c r="K30" s="21">
        <f>IF($I30="","",IFERROR(INDEX(Offerte!$D$2:$D$200,MATCH($A30&amp;"|"&amp;$I30,Offerte!$L$2:$L$200,0)),0))</f>
        <v/>
      </c>
      <c r="L30" s="21">
        <f>IF($H30="","",IFERROR(INDEX(Offerte!$E$2:$E$200,MATCH($A30&amp;"|"&amp;$H30,Offerte!$L$2:$L$200,0)),0))</f>
        <v/>
      </c>
      <c r="M30" s="21">
        <f>IF($I30="","",IFERROR(INDEX(Offerte!$E$2:$E$200,MATCH($A30&amp;"|"&amp;$I30,Offerte!$L$2:$L$200,0)),0))</f>
        <v/>
      </c>
      <c r="N30" s="21">
        <f>IF($A30="","",IF(IFERROR(VALUE($D30),0)&lt;&gt;1,"NO",IF(AND(IFERROR(VALUE($J30),0)=1,IFERROR(VALUE($K30),0)=1,IFERROR(VALUE($L30),0)&gt;=Parametri!$B$2,IFERROR(VALUE($M30),0)&gt;=Parametri!$B$2,IFERROR(VALUE($F30),0)=1,IFERROR(VALUE($G30),0)=1,IFERROR(VALUE($E30),0)&gt;$U30),"SI","NO")))</f>
        <v/>
      </c>
      <c r="O30" s="21">
        <f>IF($N30="SI",IFERROR(30*(IFERROR(VALUE($E30),0)/MAX(SUMPRODUCT(MAX((Offerte!$C$2:$C$200=$H30)*(IFERROR(Offerte!$D$2:$D$200*1,0)=1)*(IFERROR(Offerte!$E$2:$E$200*1,0)&gt;=Parametri!$B$2)*IFERROR(Offerte!$F$2:$F$200*1,0))),SUMPRODUCT(MAX(($H$5:$H$80=$H30)*($N$5:$N$80="SI")*IFERROR($E$5:$E$80*1,0))),SUMPRODUCT(MAX(($I$5:$I$80=$H30)*($N$5:$N$80="SI")*IFERROR($E$5:$E$80*1,0))))),0),0)</f>
        <v/>
      </c>
      <c r="P30" s="21">
        <f>IF($N30="SI",IFERROR(30*(IFERROR(VALUE($E30),0)/MAX(SUMPRODUCT(MAX((Offerte!$C$2:$C$200=$I30)*(IFERROR(Offerte!$D$2:$D$200*1,0)=1)*(IFERROR(Offerte!$E$2:$E$200*1,0)&gt;=Parametri!$B$2)*IFERROR(Offerte!$F$2:$F$200*1,0))),SUMPRODUCT(MAX(($H$5:$H$80=$I30)*($N$5:$N$80="SI")*IFERROR($E$5:$E$80*1,0))),SUMPRODUCT(MAX(($I$5:$I$80=$I30)*($N$5:$N$80="SI")*IFERROR($E$5:$E$80*1,0))))),0),0)</f>
        <v/>
      </c>
      <c r="Q30" s="21">
        <f>IF($N30="SI",ROUND($L30+$M30+$O30+$P30,4),0)</f>
        <v/>
      </c>
      <c r="R30" s="21">
        <f>IF($A30="","",IF(IFERROR(VALUE($D30),0)&lt;&gt;1,"Non attiva",IF(OR(IFERROR(VALUE($J30),0)&lt;&gt;1,IFERROR(VALUE($K30),0)&lt;&gt;1),"Singoli non attivi",IF(OR(IFERROR(VALUE($L30),0)&lt;Parametri!$B$2,IFERROR(VALUE($M30),0)&lt;Parametri!$B$2),"Soglia non superata",IF(OR(IFERROR(VALUE($F30),0)&lt;&gt;1,IFERROR(VALUE($G30),0)&lt;&gt;1),"Buste/PEF non confermati",IF(IFERROR(VALUE($E30),0)&lt;=$U30,"Ribasso non migliorativo",""))))))</f>
        <v/>
      </c>
      <c r="S30" s="21">
        <f>IF($H30="","",IFERROR(INDEX(Offerte!$F$2:$F$200,MATCH($A30&amp;"|"&amp;$H30,Offerte!$L$2:$L$200,0)),0))</f>
        <v/>
      </c>
      <c r="T30" s="21">
        <f>IF($I30="","",IFERROR(INDEX(Offerte!$F$2:$F$200,MATCH($A30&amp;"|"&amp;$I30,Offerte!$L$2:$L$200,0)),0))</f>
        <v/>
      </c>
      <c r="U30" s="21">
        <f>IF($A30="","",ROUND((IFERROR(VALUE($S30),0)+IFERROR(VALUE($T30),0))/2,4))</f>
        <v/>
      </c>
      <c r="V30" s="21">
        <f>IF($A30="","",$C30&amp;"|"&amp;TEXT($Q30,"0.0000"))</f>
        <v/>
      </c>
      <c r="W30" s="21">
        <f>IF($A30="","",$C30&amp;"|"&amp;$A30)</f>
        <v/>
      </c>
    </row>
    <row r="31">
      <c r="A31" s="20" t="n"/>
      <c r="B31" s="20">
        <f>IF($A31="","",IFERROR(INDEX(Offerte!$B$2:$B$200,MATCH($A31,Offerte!$A$2:$A$200,0)),""))</f>
        <v/>
      </c>
      <c r="C31" s="20" t="n"/>
      <c r="D31" s="20" t="n"/>
      <c r="E31" s="20" t="n"/>
      <c r="F31" s="20" t="n"/>
      <c r="G31" s="20" t="n"/>
      <c r="H31" s="21">
        <f>IF($C31="L1+L2","L1",IF($C31="L2+L3","L2",IF($C31="L3+L4","L3",IF($C31="L1+L4","L1",""))))</f>
        <v/>
      </c>
      <c r="I31" s="21">
        <f>IF($C31="L1+L2","L2",IF($C31="L2+L3","L3",IF($C31="L3+L4","L4",IF($C31="L1+L4","L4",""))))</f>
        <v/>
      </c>
      <c r="J31" s="21">
        <f>IF($H31="","",IFERROR(INDEX(Offerte!$D$2:$D$200,MATCH($A31&amp;"|"&amp;$H31,Offerte!$L$2:$L$200,0)),0))</f>
        <v/>
      </c>
      <c r="K31" s="21">
        <f>IF($I31="","",IFERROR(INDEX(Offerte!$D$2:$D$200,MATCH($A31&amp;"|"&amp;$I31,Offerte!$L$2:$L$200,0)),0))</f>
        <v/>
      </c>
      <c r="L31" s="21">
        <f>IF($H31="","",IFERROR(INDEX(Offerte!$E$2:$E$200,MATCH($A31&amp;"|"&amp;$H31,Offerte!$L$2:$L$200,0)),0))</f>
        <v/>
      </c>
      <c r="M31" s="21">
        <f>IF($I31="","",IFERROR(INDEX(Offerte!$E$2:$E$200,MATCH($A31&amp;"|"&amp;$I31,Offerte!$L$2:$L$200,0)),0))</f>
        <v/>
      </c>
      <c r="N31" s="21">
        <f>IF($A31="","",IF(IFERROR(VALUE($D31),0)&lt;&gt;1,"NO",IF(AND(IFERROR(VALUE($J31),0)=1,IFERROR(VALUE($K31),0)=1,IFERROR(VALUE($L31),0)&gt;=Parametri!$B$2,IFERROR(VALUE($M31),0)&gt;=Parametri!$B$2,IFERROR(VALUE($F31),0)=1,IFERROR(VALUE($G31),0)=1,IFERROR(VALUE($E31),0)&gt;$U31),"SI","NO")))</f>
        <v/>
      </c>
      <c r="O31" s="21">
        <f>IF($N31="SI",IFERROR(30*(IFERROR(VALUE($E31),0)/MAX(SUMPRODUCT(MAX((Offerte!$C$2:$C$200=$H31)*(IFERROR(Offerte!$D$2:$D$200*1,0)=1)*(IFERROR(Offerte!$E$2:$E$200*1,0)&gt;=Parametri!$B$2)*IFERROR(Offerte!$F$2:$F$200*1,0))),SUMPRODUCT(MAX(($H$5:$H$80=$H31)*($N$5:$N$80="SI")*IFERROR($E$5:$E$80*1,0))),SUMPRODUCT(MAX(($I$5:$I$80=$H31)*($N$5:$N$80="SI")*IFERROR($E$5:$E$80*1,0))))),0),0)</f>
        <v/>
      </c>
      <c r="P31" s="21">
        <f>IF($N31="SI",IFERROR(30*(IFERROR(VALUE($E31),0)/MAX(SUMPRODUCT(MAX((Offerte!$C$2:$C$200=$I31)*(IFERROR(Offerte!$D$2:$D$200*1,0)=1)*(IFERROR(Offerte!$E$2:$E$200*1,0)&gt;=Parametri!$B$2)*IFERROR(Offerte!$F$2:$F$200*1,0))),SUMPRODUCT(MAX(($H$5:$H$80=$I31)*($N$5:$N$80="SI")*IFERROR($E$5:$E$80*1,0))),SUMPRODUCT(MAX(($I$5:$I$80=$I31)*($N$5:$N$80="SI")*IFERROR($E$5:$E$80*1,0))))),0),0)</f>
        <v/>
      </c>
      <c r="Q31" s="21">
        <f>IF($N31="SI",ROUND($L31+$M31+$O31+$P31,4),0)</f>
        <v/>
      </c>
      <c r="R31" s="21">
        <f>IF($A31="","",IF(IFERROR(VALUE($D31),0)&lt;&gt;1,"Non attiva",IF(OR(IFERROR(VALUE($J31),0)&lt;&gt;1,IFERROR(VALUE($K31),0)&lt;&gt;1),"Singoli non attivi",IF(OR(IFERROR(VALUE($L31),0)&lt;Parametri!$B$2,IFERROR(VALUE($M31),0)&lt;Parametri!$B$2),"Soglia non superata",IF(OR(IFERROR(VALUE($F31),0)&lt;&gt;1,IFERROR(VALUE($G31),0)&lt;&gt;1),"Buste/PEF non confermati",IF(IFERROR(VALUE($E31),0)&lt;=$U31,"Ribasso non migliorativo",""))))))</f>
        <v/>
      </c>
      <c r="S31" s="21">
        <f>IF($H31="","",IFERROR(INDEX(Offerte!$F$2:$F$200,MATCH($A31&amp;"|"&amp;$H31,Offerte!$L$2:$L$200,0)),0))</f>
        <v/>
      </c>
      <c r="T31" s="21">
        <f>IF($I31="","",IFERROR(INDEX(Offerte!$F$2:$F$200,MATCH($A31&amp;"|"&amp;$I31,Offerte!$L$2:$L$200,0)),0))</f>
        <v/>
      </c>
      <c r="U31" s="21">
        <f>IF($A31="","",ROUND((IFERROR(VALUE($S31),0)+IFERROR(VALUE($T31),0))/2,4))</f>
        <v/>
      </c>
      <c r="V31" s="21">
        <f>IF($A31="","",$C31&amp;"|"&amp;TEXT($Q31,"0.0000"))</f>
        <v/>
      </c>
      <c r="W31" s="21">
        <f>IF($A31="","",$C31&amp;"|"&amp;$A31)</f>
        <v/>
      </c>
    </row>
    <row r="32">
      <c r="A32" s="20" t="n"/>
      <c r="B32" s="20">
        <f>IF($A32="","",IFERROR(INDEX(Offerte!$B$2:$B$200,MATCH($A32,Offerte!$A$2:$A$200,0)),""))</f>
        <v/>
      </c>
      <c r="C32" s="20" t="n"/>
      <c r="D32" s="20" t="n"/>
      <c r="E32" s="20" t="n"/>
      <c r="F32" s="20" t="n"/>
      <c r="G32" s="20" t="n"/>
      <c r="H32" s="21">
        <f>IF($C32="L1+L2","L1",IF($C32="L2+L3","L2",IF($C32="L3+L4","L3",IF($C32="L1+L4","L1",""))))</f>
        <v/>
      </c>
      <c r="I32" s="21">
        <f>IF($C32="L1+L2","L2",IF($C32="L2+L3","L3",IF($C32="L3+L4","L4",IF($C32="L1+L4","L4",""))))</f>
        <v/>
      </c>
      <c r="J32" s="21">
        <f>IF($H32="","",IFERROR(INDEX(Offerte!$D$2:$D$200,MATCH($A32&amp;"|"&amp;$H32,Offerte!$L$2:$L$200,0)),0))</f>
        <v/>
      </c>
      <c r="K32" s="21">
        <f>IF($I32="","",IFERROR(INDEX(Offerte!$D$2:$D$200,MATCH($A32&amp;"|"&amp;$I32,Offerte!$L$2:$L$200,0)),0))</f>
        <v/>
      </c>
      <c r="L32" s="21">
        <f>IF($H32="","",IFERROR(INDEX(Offerte!$E$2:$E$200,MATCH($A32&amp;"|"&amp;$H32,Offerte!$L$2:$L$200,0)),0))</f>
        <v/>
      </c>
      <c r="M32" s="21">
        <f>IF($I32="","",IFERROR(INDEX(Offerte!$E$2:$E$200,MATCH($A32&amp;"|"&amp;$I32,Offerte!$L$2:$L$200,0)),0))</f>
        <v/>
      </c>
      <c r="N32" s="21">
        <f>IF($A32="","",IF(IFERROR(VALUE($D32),0)&lt;&gt;1,"NO",IF(AND(IFERROR(VALUE($J32),0)=1,IFERROR(VALUE($K32),0)=1,IFERROR(VALUE($L32),0)&gt;=Parametri!$B$2,IFERROR(VALUE($M32),0)&gt;=Parametri!$B$2,IFERROR(VALUE($F32),0)=1,IFERROR(VALUE($G32),0)=1,IFERROR(VALUE($E32),0)&gt;$U32),"SI","NO")))</f>
        <v/>
      </c>
      <c r="O32" s="21">
        <f>IF($N32="SI",IFERROR(30*(IFERROR(VALUE($E32),0)/MAX(SUMPRODUCT(MAX((Offerte!$C$2:$C$200=$H32)*(IFERROR(Offerte!$D$2:$D$200*1,0)=1)*(IFERROR(Offerte!$E$2:$E$200*1,0)&gt;=Parametri!$B$2)*IFERROR(Offerte!$F$2:$F$200*1,0))),SUMPRODUCT(MAX(($H$5:$H$80=$H32)*($N$5:$N$80="SI")*IFERROR($E$5:$E$80*1,0))),SUMPRODUCT(MAX(($I$5:$I$80=$H32)*($N$5:$N$80="SI")*IFERROR($E$5:$E$80*1,0))))),0),0)</f>
        <v/>
      </c>
      <c r="P32" s="21">
        <f>IF($N32="SI",IFERROR(30*(IFERROR(VALUE($E32),0)/MAX(SUMPRODUCT(MAX((Offerte!$C$2:$C$200=$I32)*(IFERROR(Offerte!$D$2:$D$200*1,0)=1)*(IFERROR(Offerte!$E$2:$E$200*1,0)&gt;=Parametri!$B$2)*IFERROR(Offerte!$F$2:$F$200*1,0))),SUMPRODUCT(MAX(($H$5:$H$80=$I32)*($N$5:$N$80="SI")*IFERROR($E$5:$E$80*1,0))),SUMPRODUCT(MAX(($I$5:$I$80=$I32)*($N$5:$N$80="SI")*IFERROR($E$5:$E$80*1,0))))),0),0)</f>
        <v/>
      </c>
      <c r="Q32" s="21">
        <f>IF($N32="SI",ROUND($L32+$M32+$O32+$P32,4),0)</f>
        <v/>
      </c>
      <c r="R32" s="21">
        <f>IF($A32="","",IF(IFERROR(VALUE($D32),0)&lt;&gt;1,"Non attiva",IF(OR(IFERROR(VALUE($J32),0)&lt;&gt;1,IFERROR(VALUE($K32),0)&lt;&gt;1),"Singoli non attivi",IF(OR(IFERROR(VALUE($L32),0)&lt;Parametri!$B$2,IFERROR(VALUE($M32),0)&lt;Parametri!$B$2),"Soglia non superata",IF(OR(IFERROR(VALUE($F32),0)&lt;&gt;1,IFERROR(VALUE($G32),0)&lt;&gt;1),"Buste/PEF non confermati",IF(IFERROR(VALUE($E32),0)&lt;=$U32,"Ribasso non migliorativo",""))))))</f>
        <v/>
      </c>
      <c r="S32" s="21">
        <f>IF($H32="","",IFERROR(INDEX(Offerte!$F$2:$F$200,MATCH($A32&amp;"|"&amp;$H32,Offerte!$L$2:$L$200,0)),0))</f>
        <v/>
      </c>
      <c r="T32" s="21">
        <f>IF($I32="","",IFERROR(INDEX(Offerte!$F$2:$F$200,MATCH($A32&amp;"|"&amp;$I32,Offerte!$L$2:$L$200,0)),0))</f>
        <v/>
      </c>
      <c r="U32" s="21">
        <f>IF($A32="","",ROUND((IFERROR(VALUE($S32),0)+IFERROR(VALUE($T32),0))/2,4))</f>
        <v/>
      </c>
      <c r="V32" s="21">
        <f>IF($A32="","",$C32&amp;"|"&amp;TEXT($Q32,"0.0000"))</f>
        <v/>
      </c>
      <c r="W32" s="21">
        <f>IF($A32="","",$C32&amp;"|"&amp;$A32)</f>
        <v/>
      </c>
    </row>
    <row r="33">
      <c r="A33" s="20" t="n"/>
      <c r="B33" s="20">
        <f>IF($A33="","",IFERROR(INDEX(Offerte!$B$2:$B$200,MATCH($A33,Offerte!$A$2:$A$200,0)),""))</f>
        <v/>
      </c>
      <c r="C33" s="20" t="n"/>
      <c r="D33" s="20" t="n"/>
      <c r="E33" s="20" t="n"/>
      <c r="F33" s="20" t="n"/>
      <c r="G33" s="20" t="n"/>
      <c r="H33" s="21">
        <f>IF($C33="L1+L2","L1",IF($C33="L2+L3","L2",IF($C33="L3+L4","L3",IF($C33="L1+L4","L1",""))))</f>
        <v/>
      </c>
      <c r="I33" s="21">
        <f>IF($C33="L1+L2","L2",IF($C33="L2+L3","L3",IF($C33="L3+L4","L4",IF($C33="L1+L4","L4",""))))</f>
        <v/>
      </c>
      <c r="J33" s="21">
        <f>IF($H33="","",IFERROR(INDEX(Offerte!$D$2:$D$200,MATCH($A33&amp;"|"&amp;$H33,Offerte!$L$2:$L$200,0)),0))</f>
        <v/>
      </c>
      <c r="K33" s="21">
        <f>IF($I33="","",IFERROR(INDEX(Offerte!$D$2:$D$200,MATCH($A33&amp;"|"&amp;$I33,Offerte!$L$2:$L$200,0)),0))</f>
        <v/>
      </c>
      <c r="L33" s="21">
        <f>IF($H33="","",IFERROR(INDEX(Offerte!$E$2:$E$200,MATCH($A33&amp;"|"&amp;$H33,Offerte!$L$2:$L$200,0)),0))</f>
        <v/>
      </c>
      <c r="M33" s="21">
        <f>IF($I33="","",IFERROR(INDEX(Offerte!$E$2:$E$200,MATCH($A33&amp;"|"&amp;$I33,Offerte!$L$2:$L$200,0)),0))</f>
        <v/>
      </c>
      <c r="N33" s="21">
        <f>IF($A33="","",IF(IFERROR(VALUE($D33),0)&lt;&gt;1,"NO",IF(AND(IFERROR(VALUE($J33),0)=1,IFERROR(VALUE($K33),0)=1,IFERROR(VALUE($L33),0)&gt;=Parametri!$B$2,IFERROR(VALUE($M33),0)&gt;=Parametri!$B$2,IFERROR(VALUE($F33),0)=1,IFERROR(VALUE($G33),0)=1,IFERROR(VALUE($E33),0)&gt;$U33),"SI","NO")))</f>
        <v/>
      </c>
      <c r="O33" s="21">
        <f>IF($N33="SI",IFERROR(30*(IFERROR(VALUE($E33),0)/MAX(SUMPRODUCT(MAX((Offerte!$C$2:$C$200=$H33)*(IFERROR(Offerte!$D$2:$D$200*1,0)=1)*(IFERROR(Offerte!$E$2:$E$200*1,0)&gt;=Parametri!$B$2)*IFERROR(Offerte!$F$2:$F$200*1,0))),SUMPRODUCT(MAX(($H$5:$H$80=$H33)*($N$5:$N$80="SI")*IFERROR($E$5:$E$80*1,0))),SUMPRODUCT(MAX(($I$5:$I$80=$H33)*($N$5:$N$80="SI")*IFERROR($E$5:$E$80*1,0))))),0),0)</f>
        <v/>
      </c>
      <c r="P33" s="21">
        <f>IF($N33="SI",IFERROR(30*(IFERROR(VALUE($E33),0)/MAX(SUMPRODUCT(MAX((Offerte!$C$2:$C$200=$I33)*(IFERROR(Offerte!$D$2:$D$200*1,0)=1)*(IFERROR(Offerte!$E$2:$E$200*1,0)&gt;=Parametri!$B$2)*IFERROR(Offerte!$F$2:$F$200*1,0))),SUMPRODUCT(MAX(($H$5:$H$80=$I33)*($N$5:$N$80="SI")*IFERROR($E$5:$E$80*1,0))),SUMPRODUCT(MAX(($I$5:$I$80=$I33)*($N$5:$N$80="SI")*IFERROR($E$5:$E$80*1,0))))),0),0)</f>
        <v/>
      </c>
      <c r="Q33" s="21">
        <f>IF($N33="SI",ROUND($L33+$M33+$O33+$P33,4),0)</f>
        <v/>
      </c>
      <c r="R33" s="21">
        <f>IF($A33="","",IF(IFERROR(VALUE($D33),0)&lt;&gt;1,"Non attiva",IF(OR(IFERROR(VALUE($J33),0)&lt;&gt;1,IFERROR(VALUE($K33),0)&lt;&gt;1),"Singoli non attivi",IF(OR(IFERROR(VALUE($L33),0)&lt;Parametri!$B$2,IFERROR(VALUE($M33),0)&lt;Parametri!$B$2),"Soglia non superata",IF(OR(IFERROR(VALUE($F33),0)&lt;&gt;1,IFERROR(VALUE($G33),0)&lt;&gt;1),"Buste/PEF non confermati",IF(IFERROR(VALUE($E33),0)&lt;=$U33,"Ribasso non migliorativo",""))))))</f>
        <v/>
      </c>
      <c r="S33" s="21">
        <f>IF($H33="","",IFERROR(INDEX(Offerte!$F$2:$F$200,MATCH($A33&amp;"|"&amp;$H33,Offerte!$L$2:$L$200,0)),0))</f>
        <v/>
      </c>
      <c r="T33" s="21">
        <f>IF($I33="","",IFERROR(INDEX(Offerte!$F$2:$F$200,MATCH($A33&amp;"|"&amp;$I33,Offerte!$L$2:$L$200,0)),0))</f>
        <v/>
      </c>
      <c r="U33" s="21">
        <f>IF($A33="","",ROUND((IFERROR(VALUE($S33),0)+IFERROR(VALUE($T33),0))/2,4))</f>
        <v/>
      </c>
      <c r="V33" s="21">
        <f>IF($A33="","",$C33&amp;"|"&amp;TEXT($Q33,"0.0000"))</f>
        <v/>
      </c>
      <c r="W33" s="21">
        <f>IF($A33="","",$C33&amp;"|"&amp;$A33)</f>
        <v/>
      </c>
    </row>
    <row r="34">
      <c r="A34" s="20" t="n"/>
      <c r="B34" s="20">
        <f>IF($A34="","",IFERROR(INDEX(Offerte!$B$2:$B$200,MATCH($A34,Offerte!$A$2:$A$200,0)),""))</f>
        <v/>
      </c>
      <c r="C34" s="20" t="n"/>
      <c r="D34" s="20" t="n"/>
      <c r="E34" s="20" t="n"/>
      <c r="F34" s="20" t="n"/>
      <c r="G34" s="20" t="n"/>
      <c r="H34" s="21">
        <f>IF($C34="L1+L2","L1",IF($C34="L2+L3","L2",IF($C34="L3+L4","L3",IF($C34="L1+L4","L1",""))))</f>
        <v/>
      </c>
      <c r="I34" s="21">
        <f>IF($C34="L1+L2","L2",IF($C34="L2+L3","L3",IF($C34="L3+L4","L4",IF($C34="L1+L4","L4",""))))</f>
        <v/>
      </c>
      <c r="J34" s="21">
        <f>IF($H34="","",IFERROR(INDEX(Offerte!$D$2:$D$200,MATCH($A34&amp;"|"&amp;$H34,Offerte!$L$2:$L$200,0)),0))</f>
        <v/>
      </c>
      <c r="K34" s="21">
        <f>IF($I34="","",IFERROR(INDEX(Offerte!$D$2:$D$200,MATCH($A34&amp;"|"&amp;$I34,Offerte!$L$2:$L$200,0)),0))</f>
        <v/>
      </c>
      <c r="L34" s="21">
        <f>IF($H34="","",IFERROR(INDEX(Offerte!$E$2:$E$200,MATCH($A34&amp;"|"&amp;$H34,Offerte!$L$2:$L$200,0)),0))</f>
        <v/>
      </c>
      <c r="M34" s="21">
        <f>IF($I34="","",IFERROR(INDEX(Offerte!$E$2:$E$200,MATCH($A34&amp;"|"&amp;$I34,Offerte!$L$2:$L$200,0)),0))</f>
        <v/>
      </c>
      <c r="N34" s="21">
        <f>IF($A34="","",IF(IFERROR(VALUE($D34),0)&lt;&gt;1,"NO",IF(AND(IFERROR(VALUE($J34),0)=1,IFERROR(VALUE($K34),0)=1,IFERROR(VALUE($L34),0)&gt;=Parametri!$B$2,IFERROR(VALUE($M34),0)&gt;=Parametri!$B$2,IFERROR(VALUE($F34),0)=1,IFERROR(VALUE($G34),0)=1,IFERROR(VALUE($E34),0)&gt;$U34),"SI","NO")))</f>
        <v/>
      </c>
      <c r="O34" s="21">
        <f>IF($N34="SI",IFERROR(30*(IFERROR(VALUE($E34),0)/MAX(SUMPRODUCT(MAX((Offerte!$C$2:$C$200=$H34)*(IFERROR(Offerte!$D$2:$D$200*1,0)=1)*(IFERROR(Offerte!$E$2:$E$200*1,0)&gt;=Parametri!$B$2)*IFERROR(Offerte!$F$2:$F$200*1,0))),SUMPRODUCT(MAX(($H$5:$H$80=$H34)*($N$5:$N$80="SI")*IFERROR($E$5:$E$80*1,0))),SUMPRODUCT(MAX(($I$5:$I$80=$H34)*($N$5:$N$80="SI")*IFERROR($E$5:$E$80*1,0))))),0),0)</f>
        <v/>
      </c>
      <c r="P34" s="21">
        <f>IF($N34="SI",IFERROR(30*(IFERROR(VALUE($E34),0)/MAX(SUMPRODUCT(MAX((Offerte!$C$2:$C$200=$I34)*(IFERROR(Offerte!$D$2:$D$200*1,0)=1)*(IFERROR(Offerte!$E$2:$E$200*1,0)&gt;=Parametri!$B$2)*IFERROR(Offerte!$F$2:$F$200*1,0))),SUMPRODUCT(MAX(($H$5:$H$80=$I34)*($N$5:$N$80="SI")*IFERROR($E$5:$E$80*1,0))),SUMPRODUCT(MAX(($I$5:$I$80=$I34)*($N$5:$N$80="SI")*IFERROR($E$5:$E$80*1,0))))),0),0)</f>
        <v/>
      </c>
      <c r="Q34" s="21">
        <f>IF($N34="SI",ROUND($L34+$M34+$O34+$P34,4),0)</f>
        <v/>
      </c>
      <c r="R34" s="21">
        <f>IF($A34="","",IF(IFERROR(VALUE($D34),0)&lt;&gt;1,"Non attiva",IF(OR(IFERROR(VALUE($J34),0)&lt;&gt;1,IFERROR(VALUE($K34),0)&lt;&gt;1),"Singoli non attivi",IF(OR(IFERROR(VALUE($L34),0)&lt;Parametri!$B$2,IFERROR(VALUE($M34),0)&lt;Parametri!$B$2),"Soglia non superata",IF(OR(IFERROR(VALUE($F34),0)&lt;&gt;1,IFERROR(VALUE($G34),0)&lt;&gt;1),"Buste/PEF non confermati",IF(IFERROR(VALUE($E34),0)&lt;=$U34,"Ribasso non migliorativo",""))))))</f>
        <v/>
      </c>
      <c r="S34" s="21">
        <f>IF($H34="","",IFERROR(INDEX(Offerte!$F$2:$F$200,MATCH($A34&amp;"|"&amp;$H34,Offerte!$L$2:$L$200,0)),0))</f>
        <v/>
      </c>
      <c r="T34" s="21">
        <f>IF($I34="","",IFERROR(INDEX(Offerte!$F$2:$F$200,MATCH($A34&amp;"|"&amp;$I34,Offerte!$L$2:$L$200,0)),0))</f>
        <v/>
      </c>
      <c r="U34" s="21">
        <f>IF($A34="","",ROUND((IFERROR(VALUE($S34),0)+IFERROR(VALUE($T34),0))/2,4))</f>
        <v/>
      </c>
      <c r="V34" s="21">
        <f>IF($A34="","",$C34&amp;"|"&amp;TEXT($Q34,"0.0000"))</f>
        <v/>
      </c>
      <c r="W34" s="21">
        <f>IF($A34="","",$C34&amp;"|"&amp;$A34)</f>
        <v/>
      </c>
    </row>
    <row r="35">
      <c r="A35" s="20" t="n"/>
      <c r="B35" s="20">
        <f>IF($A35="","",IFERROR(INDEX(Offerte!$B$2:$B$200,MATCH($A35,Offerte!$A$2:$A$200,0)),""))</f>
        <v/>
      </c>
      <c r="C35" s="20" t="n"/>
      <c r="D35" s="20" t="n"/>
      <c r="E35" s="20" t="n"/>
      <c r="F35" s="20" t="n"/>
      <c r="G35" s="20" t="n"/>
      <c r="H35" s="21">
        <f>IF($C35="L1+L2","L1",IF($C35="L2+L3","L2",IF($C35="L3+L4","L3",IF($C35="L1+L4","L1",""))))</f>
        <v/>
      </c>
      <c r="I35" s="21">
        <f>IF($C35="L1+L2","L2",IF($C35="L2+L3","L3",IF($C35="L3+L4","L4",IF($C35="L1+L4","L4",""))))</f>
        <v/>
      </c>
      <c r="J35" s="21">
        <f>IF($H35="","",IFERROR(INDEX(Offerte!$D$2:$D$200,MATCH($A35&amp;"|"&amp;$H35,Offerte!$L$2:$L$200,0)),0))</f>
        <v/>
      </c>
      <c r="K35" s="21">
        <f>IF($I35="","",IFERROR(INDEX(Offerte!$D$2:$D$200,MATCH($A35&amp;"|"&amp;$I35,Offerte!$L$2:$L$200,0)),0))</f>
        <v/>
      </c>
      <c r="L35" s="21">
        <f>IF($H35="","",IFERROR(INDEX(Offerte!$E$2:$E$200,MATCH($A35&amp;"|"&amp;$H35,Offerte!$L$2:$L$200,0)),0))</f>
        <v/>
      </c>
      <c r="M35" s="21">
        <f>IF($I35="","",IFERROR(INDEX(Offerte!$E$2:$E$200,MATCH($A35&amp;"|"&amp;$I35,Offerte!$L$2:$L$200,0)),0))</f>
        <v/>
      </c>
      <c r="N35" s="21">
        <f>IF($A35="","",IF(IFERROR(VALUE($D35),0)&lt;&gt;1,"NO",IF(AND(IFERROR(VALUE($J35),0)=1,IFERROR(VALUE($K35),0)=1,IFERROR(VALUE($L35),0)&gt;=Parametri!$B$2,IFERROR(VALUE($M35),0)&gt;=Parametri!$B$2,IFERROR(VALUE($F35),0)=1,IFERROR(VALUE($G35),0)=1,IFERROR(VALUE($E35),0)&gt;$U35),"SI","NO")))</f>
        <v/>
      </c>
      <c r="O35" s="21">
        <f>IF($N35="SI",IFERROR(30*(IFERROR(VALUE($E35),0)/MAX(SUMPRODUCT(MAX((Offerte!$C$2:$C$200=$H35)*(IFERROR(Offerte!$D$2:$D$200*1,0)=1)*(IFERROR(Offerte!$E$2:$E$200*1,0)&gt;=Parametri!$B$2)*IFERROR(Offerte!$F$2:$F$200*1,0))),SUMPRODUCT(MAX(($H$5:$H$80=$H35)*($N$5:$N$80="SI")*IFERROR($E$5:$E$80*1,0))),SUMPRODUCT(MAX(($I$5:$I$80=$H35)*($N$5:$N$80="SI")*IFERROR($E$5:$E$80*1,0))))),0),0)</f>
        <v/>
      </c>
      <c r="P35" s="21">
        <f>IF($N35="SI",IFERROR(30*(IFERROR(VALUE($E35),0)/MAX(SUMPRODUCT(MAX((Offerte!$C$2:$C$200=$I35)*(IFERROR(Offerte!$D$2:$D$200*1,0)=1)*(IFERROR(Offerte!$E$2:$E$200*1,0)&gt;=Parametri!$B$2)*IFERROR(Offerte!$F$2:$F$200*1,0))),SUMPRODUCT(MAX(($H$5:$H$80=$I35)*($N$5:$N$80="SI")*IFERROR($E$5:$E$80*1,0))),SUMPRODUCT(MAX(($I$5:$I$80=$I35)*($N$5:$N$80="SI")*IFERROR($E$5:$E$80*1,0))))),0),0)</f>
        <v/>
      </c>
      <c r="Q35" s="21">
        <f>IF($N35="SI",ROUND($L35+$M35+$O35+$P35,4),0)</f>
        <v/>
      </c>
      <c r="R35" s="21">
        <f>IF($A35="","",IF(IFERROR(VALUE($D35),0)&lt;&gt;1,"Non attiva",IF(OR(IFERROR(VALUE($J35),0)&lt;&gt;1,IFERROR(VALUE($K35),0)&lt;&gt;1),"Singoli non attivi",IF(OR(IFERROR(VALUE($L35),0)&lt;Parametri!$B$2,IFERROR(VALUE($M35),0)&lt;Parametri!$B$2),"Soglia non superata",IF(OR(IFERROR(VALUE($F35),0)&lt;&gt;1,IFERROR(VALUE($G35),0)&lt;&gt;1),"Buste/PEF non confermati",IF(IFERROR(VALUE($E35),0)&lt;=$U35,"Ribasso non migliorativo",""))))))</f>
        <v/>
      </c>
      <c r="S35" s="21">
        <f>IF($H35="","",IFERROR(INDEX(Offerte!$F$2:$F$200,MATCH($A35&amp;"|"&amp;$H35,Offerte!$L$2:$L$200,0)),0))</f>
        <v/>
      </c>
      <c r="T35" s="21">
        <f>IF($I35="","",IFERROR(INDEX(Offerte!$F$2:$F$200,MATCH($A35&amp;"|"&amp;$I35,Offerte!$L$2:$L$200,0)),0))</f>
        <v/>
      </c>
      <c r="U35" s="21">
        <f>IF($A35="","",ROUND((IFERROR(VALUE($S35),0)+IFERROR(VALUE($T35),0))/2,4))</f>
        <v/>
      </c>
      <c r="V35" s="21">
        <f>IF($A35="","",$C35&amp;"|"&amp;TEXT($Q35,"0.0000"))</f>
        <v/>
      </c>
      <c r="W35" s="21">
        <f>IF($A35="","",$C35&amp;"|"&amp;$A35)</f>
        <v/>
      </c>
    </row>
    <row r="36">
      <c r="A36" s="20" t="n"/>
      <c r="B36" s="20">
        <f>IF($A36="","",IFERROR(INDEX(Offerte!$B$2:$B$200,MATCH($A36,Offerte!$A$2:$A$200,0)),""))</f>
        <v/>
      </c>
      <c r="C36" s="20" t="n"/>
      <c r="D36" s="20" t="n"/>
      <c r="E36" s="20" t="n"/>
      <c r="F36" s="20" t="n"/>
      <c r="G36" s="20" t="n"/>
      <c r="H36" s="21">
        <f>IF($C36="L1+L2","L1",IF($C36="L2+L3","L2",IF($C36="L3+L4","L3",IF($C36="L1+L4","L1",""))))</f>
        <v/>
      </c>
      <c r="I36" s="21">
        <f>IF($C36="L1+L2","L2",IF($C36="L2+L3","L3",IF($C36="L3+L4","L4",IF($C36="L1+L4","L4",""))))</f>
        <v/>
      </c>
      <c r="J36" s="21">
        <f>IF($H36="","",IFERROR(INDEX(Offerte!$D$2:$D$200,MATCH($A36&amp;"|"&amp;$H36,Offerte!$L$2:$L$200,0)),0))</f>
        <v/>
      </c>
      <c r="K36" s="21">
        <f>IF($I36="","",IFERROR(INDEX(Offerte!$D$2:$D$200,MATCH($A36&amp;"|"&amp;$I36,Offerte!$L$2:$L$200,0)),0))</f>
        <v/>
      </c>
      <c r="L36" s="21">
        <f>IF($H36="","",IFERROR(INDEX(Offerte!$E$2:$E$200,MATCH($A36&amp;"|"&amp;$H36,Offerte!$L$2:$L$200,0)),0))</f>
        <v/>
      </c>
      <c r="M36" s="21">
        <f>IF($I36="","",IFERROR(INDEX(Offerte!$E$2:$E$200,MATCH($A36&amp;"|"&amp;$I36,Offerte!$L$2:$L$200,0)),0))</f>
        <v/>
      </c>
      <c r="N36" s="21">
        <f>IF($A36="","",IF(IFERROR(VALUE($D36),0)&lt;&gt;1,"NO",IF(AND(IFERROR(VALUE($J36),0)=1,IFERROR(VALUE($K36),0)=1,IFERROR(VALUE($L36),0)&gt;=Parametri!$B$2,IFERROR(VALUE($M36),0)&gt;=Parametri!$B$2,IFERROR(VALUE($F36),0)=1,IFERROR(VALUE($G36),0)=1,IFERROR(VALUE($E36),0)&gt;$U36),"SI","NO")))</f>
        <v/>
      </c>
      <c r="O36" s="21">
        <f>IF($N36="SI",IFERROR(30*(IFERROR(VALUE($E36),0)/MAX(SUMPRODUCT(MAX((Offerte!$C$2:$C$200=$H36)*(IFERROR(Offerte!$D$2:$D$200*1,0)=1)*(IFERROR(Offerte!$E$2:$E$200*1,0)&gt;=Parametri!$B$2)*IFERROR(Offerte!$F$2:$F$200*1,0))),SUMPRODUCT(MAX(($H$5:$H$80=$H36)*($N$5:$N$80="SI")*IFERROR($E$5:$E$80*1,0))),SUMPRODUCT(MAX(($I$5:$I$80=$H36)*($N$5:$N$80="SI")*IFERROR($E$5:$E$80*1,0))))),0),0)</f>
        <v/>
      </c>
      <c r="P36" s="21">
        <f>IF($N36="SI",IFERROR(30*(IFERROR(VALUE($E36),0)/MAX(SUMPRODUCT(MAX((Offerte!$C$2:$C$200=$I36)*(IFERROR(Offerte!$D$2:$D$200*1,0)=1)*(IFERROR(Offerte!$E$2:$E$200*1,0)&gt;=Parametri!$B$2)*IFERROR(Offerte!$F$2:$F$200*1,0))),SUMPRODUCT(MAX(($H$5:$H$80=$I36)*($N$5:$N$80="SI")*IFERROR($E$5:$E$80*1,0))),SUMPRODUCT(MAX(($I$5:$I$80=$I36)*($N$5:$N$80="SI")*IFERROR($E$5:$E$80*1,0))))),0),0)</f>
        <v/>
      </c>
      <c r="Q36" s="21">
        <f>IF($N36="SI",ROUND($L36+$M36+$O36+$P36,4),0)</f>
        <v/>
      </c>
      <c r="R36" s="21">
        <f>IF($A36="","",IF(IFERROR(VALUE($D36),0)&lt;&gt;1,"Non attiva",IF(OR(IFERROR(VALUE($J36),0)&lt;&gt;1,IFERROR(VALUE($K36),0)&lt;&gt;1),"Singoli non attivi",IF(OR(IFERROR(VALUE($L36),0)&lt;Parametri!$B$2,IFERROR(VALUE($M36),0)&lt;Parametri!$B$2),"Soglia non superata",IF(OR(IFERROR(VALUE($F36),0)&lt;&gt;1,IFERROR(VALUE($G36),0)&lt;&gt;1),"Buste/PEF non confermati",IF(IFERROR(VALUE($E36),0)&lt;=$U36,"Ribasso non migliorativo",""))))))</f>
        <v/>
      </c>
      <c r="S36" s="21">
        <f>IF($H36="","",IFERROR(INDEX(Offerte!$F$2:$F$200,MATCH($A36&amp;"|"&amp;$H36,Offerte!$L$2:$L$200,0)),0))</f>
        <v/>
      </c>
      <c r="T36" s="21">
        <f>IF($I36="","",IFERROR(INDEX(Offerte!$F$2:$F$200,MATCH($A36&amp;"|"&amp;$I36,Offerte!$L$2:$L$200,0)),0))</f>
        <v/>
      </c>
      <c r="U36" s="21">
        <f>IF($A36="","",ROUND((IFERROR(VALUE($S36),0)+IFERROR(VALUE($T36),0))/2,4))</f>
        <v/>
      </c>
      <c r="V36" s="21">
        <f>IF($A36="","",$C36&amp;"|"&amp;TEXT($Q36,"0.0000"))</f>
        <v/>
      </c>
      <c r="W36" s="21">
        <f>IF($A36="","",$C36&amp;"|"&amp;$A36)</f>
        <v/>
      </c>
    </row>
    <row r="37">
      <c r="A37" s="20" t="n"/>
      <c r="B37" s="20">
        <f>IF($A37="","",IFERROR(INDEX(Offerte!$B$2:$B$200,MATCH($A37,Offerte!$A$2:$A$200,0)),""))</f>
        <v/>
      </c>
      <c r="C37" s="20" t="n"/>
      <c r="D37" s="20" t="n"/>
      <c r="E37" s="20" t="n"/>
      <c r="F37" s="20" t="n"/>
      <c r="G37" s="20" t="n"/>
      <c r="H37" s="21">
        <f>IF($C37="L1+L2","L1",IF($C37="L2+L3","L2",IF($C37="L3+L4","L3",IF($C37="L1+L4","L1",""))))</f>
        <v/>
      </c>
      <c r="I37" s="21">
        <f>IF($C37="L1+L2","L2",IF($C37="L2+L3","L3",IF($C37="L3+L4","L4",IF($C37="L1+L4","L4",""))))</f>
        <v/>
      </c>
      <c r="J37" s="21">
        <f>IF($H37="","",IFERROR(INDEX(Offerte!$D$2:$D$200,MATCH($A37&amp;"|"&amp;$H37,Offerte!$L$2:$L$200,0)),0))</f>
        <v/>
      </c>
      <c r="K37" s="21">
        <f>IF($I37="","",IFERROR(INDEX(Offerte!$D$2:$D$200,MATCH($A37&amp;"|"&amp;$I37,Offerte!$L$2:$L$200,0)),0))</f>
        <v/>
      </c>
      <c r="L37" s="21">
        <f>IF($H37="","",IFERROR(INDEX(Offerte!$E$2:$E$200,MATCH($A37&amp;"|"&amp;$H37,Offerte!$L$2:$L$200,0)),0))</f>
        <v/>
      </c>
      <c r="M37" s="21">
        <f>IF($I37="","",IFERROR(INDEX(Offerte!$E$2:$E$200,MATCH($A37&amp;"|"&amp;$I37,Offerte!$L$2:$L$200,0)),0))</f>
        <v/>
      </c>
      <c r="N37" s="21">
        <f>IF($A37="","",IF(IFERROR(VALUE($D37),0)&lt;&gt;1,"NO",IF(AND(IFERROR(VALUE($J37),0)=1,IFERROR(VALUE($K37),0)=1,IFERROR(VALUE($L37),0)&gt;=Parametri!$B$2,IFERROR(VALUE($M37),0)&gt;=Parametri!$B$2,IFERROR(VALUE($F37),0)=1,IFERROR(VALUE($G37),0)=1,IFERROR(VALUE($E37),0)&gt;$U37),"SI","NO")))</f>
        <v/>
      </c>
      <c r="O37" s="21">
        <f>IF($N37="SI",IFERROR(30*(IFERROR(VALUE($E37),0)/MAX(SUMPRODUCT(MAX((Offerte!$C$2:$C$200=$H37)*(IFERROR(Offerte!$D$2:$D$200*1,0)=1)*(IFERROR(Offerte!$E$2:$E$200*1,0)&gt;=Parametri!$B$2)*IFERROR(Offerte!$F$2:$F$200*1,0))),SUMPRODUCT(MAX(($H$5:$H$80=$H37)*($N$5:$N$80="SI")*IFERROR($E$5:$E$80*1,0))),SUMPRODUCT(MAX(($I$5:$I$80=$H37)*($N$5:$N$80="SI")*IFERROR($E$5:$E$80*1,0))))),0),0)</f>
        <v/>
      </c>
      <c r="P37" s="21">
        <f>IF($N37="SI",IFERROR(30*(IFERROR(VALUE($E37),0)/MAX(SUMPRODUCT(MAX((Offerte!$C$2:$C$200=$I37)*(IFERROR(Offerte!$D$2:$D$200*1,0)=1)*(IFERROR(Offerte!$E$2:$E$200*1,0)&gt;=Parametri!$B$2)*IFERROR(Offerte!$F$2:$F$200*1,0))),SUMPRODUCT(MAX(($H$5:$H$80=$I37)*($N$5:$N$80="SI")*IFERROR($E$5:$E$80*1,0))),SUMPRODUCT(MAX(($I$5:$I$80=$I37)*($N$5:$N$80="SI")*IFERROR($E$5:$E$80*1,0))))),0),0)</f>
        <v/>
      </c>
      <c r="Q37" s="21">
        <f>IF($N37="SI",ROUND($L37+$M37+$O37+$P37,4),0)</f>
        <v/>
      </c>
      <c r="R37" s="21">
        <f>IF($A37="","",IF(IFERROR(VALUE($D37),0)&lt;&gt;1,"Non attiva",IF(OR(IFERROR(VALUE($J37),0)&lt;&gt;1,IFERROR(VALUE($K37),0)&lt;&gt;1),"Singoli non attivi",IF(OR(IFERROR(VALUE($L37),0)&lt;Parametri!$B$2,IFERROR(VALUE($M37),0)&lt;Parametri!$B$2),"Soglia non superata",IF(OR(IFERROR(VALUE($F37),0)&lt;&gt;1,IFERROR(VALUE($G37),0)&lt;&gt;1),"Buste/PEF non confermati",IF(IFERROR(VALUE($E37),0)&lt;=$U37,"Ribasso non migliorativo",""))))))</f>
        <v/>
      </c>
      <c r="S37" s="21">
        <f>IF($H37="","",IFERROR(INDEX(Offerte!$F$2:$F$200,MATCH($A37&amp;"|"&amp;$H37,Offerte!$L$2:$L$200,0)),0))</f>
        <v/>
      </c>
      <c r="T37" s="21">
        <f>IF($I37="","",IFERROR(INDEX(Offerte!$F$2:$F$200,MATCH($A37&amp;"|"&amp;$I37,Offerte!$L$2:$L$200,0)),0))</f>
        <v/>
      </c>
      <c r="U37" s="21">
        <f>IF($A37="","",ROUND((IFERROR(VALUE($S37),0)+IFERROR(VALUE($T37),0))/2,4))</f>
        <v/>
      </c>
      <c r="V37" s="21">
        <f>IF($A37="","",$C37&amp;"|"&amp;TEXT($Q37,"0.0000"))</f>
        <v/>
      </c>
      <c r="W37" s="21">
        <f>IF($A37="","",$C37&amp;"|"&amp;$A37)</f>
        <v/>
      </c>
    </row>
    <row r="38">
      <c r="A38" s="20" t="n"/>
      <c r="B38" s="20">
        <f>IF($A38="","",IFERROR(INDEX(Offerte!$B$2:$B$200,MATCH($A38,Offerte!$A$2:$A$200,0)),""))</f>
        <v/>
      </c>
      <c r="C38" s="20" t="n"/>
      <c r="D38" s="20" t="n"/>
      <c r="E38" s="20" t="n"/>
      <c r="F38" s="20" t="n"/>
      <c r="G38" s="20" t="n"/>
      <c r="H38" s="21">
        <f>IF($C38="L1+L2","L1",IF($C38="L2+L3","L2",IF($C38="L3+L4","L3",IF($C38="L1+L4","L1",""))))</f>
        <v/>
      </c>
      <c r="I38" s="21">
        <f>IF($C38="L1+L2","L2",IF($C38="L2+L3","L3",IF($C38="L3+L4","L4",IF($C38="L1+L4","L4",""))))</f>
        <v/>
      </c>
      <c r="J38" s="21">
        <f>IF($H38="","",IFERROR(INDEX(Offerte!$D$2:$D$200,MATCH($A38&amp;"|"&amp;$H38,Offerte!$L$2:$L$200,0)),0))</f>
        <v/>
      </c>
      <c r="K38" s="21">
        <f>IF($I38="","",IFERROR(INDEX(Offerte!$D$2:$D$200,MATCH($A38&amp;"|"&amp;$I38,Offerte!$L$2:$L$200,0)),0))</f>
        <v/>
      </c>
      <c r="L38" s="21">
        <f>IF($H38="","",IFERROR(INDEX(Offerte!$E$2:$E$200,MATCH($A38&amp;"|"&amp;$H38,Offerte!$L$2:$L$200,0)),0))</f>
        <v/>
      </c>
      <c r="M38" s="21">
        <f>IF($I38="","",IFERROR(INDEX(Offerte!$E$2:$E$200,MATCH($A38&amp;"|"&amp;$I38,Offerte!$L$2:$L$200,0)),0))</f>
        <v/>
      </c>
      <c r="N38" s="21">
        <f>IF($A38="","",IF(IFERROR(VALUE($D38),0)&lt;&gt;1,"NO",IF(AND(IFERROR(VALUE($J38),0)=1,IFERROR(VALUE($K38),0)=1,IFERROR(VALUE($L38),0)&gt;=Parametri!$B$2,IFERROR(VALUE($M38),0)&gt;=Parametri!$B$2,IFERROR(VALUE($F38),0)=1,IFERROR(VALUE($G38),0)=1,IFERROR(VALUE($E38),0)&gt;$U38),"SI","NO")))</f>
        <v/>
      </c>
      <c r="O38" s="21">
        <f>IF($N38="SI",IFERROR(30*(IFERROR(VALUE($E38),0)/MAX(SUMPRODUCT(MAX((Offerte!$C$2:$C$200=$H38)*(IFERROR(Offerte!$D$2:$D$200*1,0)=1)*(IFERROR(Offerte!$E$2:$E$200*1,0)&gt;=Parametri!$B$2)*IFERROR(Offerte!$F$2:$F$200*1,0))),SUMPRODUCT(MAX(($H$5:$H$80=$H38)*($N$5:$N$80="SI")*IFERROR($E$5:$E$80*1,0))),SUMPRODUCT(MAX(($I$5:$I$80=$H38)*($N$5:$N$80="SI")*IFERROR($E$5:$E$80*1,0))))),0),0)</f>
        <v/>
      </c>
      <c r="P38" s="21">
        <f>IF($N38="SI",IFERROR(30*(IFERROR(VALUE($E38),0)/MAX(SUMPRODUCT(MAX((Offerte!$C$2:$C$200=$I38)*(IFERROR(Offerte!$D$2:$D$200*1,0)=1)*(IFERROR(Offerte!$E$2:$E$200*1,0)&gt;=Parametri!$B$2)*IFERROR(Offerte!$F$2:$F$200*1,0))),SUMPRODUCT(MAX(($H$5:$H$80=$I38)*($N$5:$N$80="SI")*IFERROR($E$5:$E$80*1,0))),SUMPRODUCT(MAX(($I$5:$I$80=$I38)*($N$5:$N$80="SI")*IFERROR($E$5:$E$80*1,0))))),0),0)</f>
        <v/>
      </c>
      <c r="Q38" s="21">
        <f>IF($N38="SI",ROUND($L38+$M38+$O38+$P38,4),0)</f>
        <v/>
      </c>
      <c r="R38" s="21">
        <f>IF($A38="","",IF(IFERROR(VALUE($D38),0)&lt;&gt;1,"Non attiva",IF(OR(IFERROR(VALUE($J38),0)&lt;&gt;1,IFERROR(VALUE($K38),0)&lt;&gt;1),"Singoli non attivi",IF(OR(IFERROR(VALUE($L38),0)&lt;Parametri!$B$2,IFERROR(VALUE($M38),0)&lt;Parametri!$B$2),"Soglia non superata",IF(OR(IFERROR(VALUE($F38),0)&lt;&gt;1,IFERROR(VALUE($G38),0)&lt;&gt;1),"Buste/PEF non confermati",IF(IFERROR(VALUE($E38),0)&lt;=$U38,"Ribasso non migliorativo",""))))))</f>
        <v/>
      </c>
      <c r="S38" s="21">
        <f>IF($H38="","",IFERROR(INDEX(Offerte!$F$2:$F$200,MATCH($A38&amp;"|"&amp;$H38,Offerte!$L$2:$L$200,0)),0))</f>
        <v/>
      </c>
      <c r="T38" s="21">
        <f>IF($I38="","",IFERROR(INDEX(Offerte!$F$2:$F$200,MATCH($A38&amp;"|"&amp;$I38,Offerte!$L$2:$L$200,0)),0))</f>
        <v/>
      </c>
      <c r="U38" s="21">
        <f>IF($A38="","",ROUND((IFERROR(VALUE($S38),0)+IFERROR(VALUE($T38),0))/2,4))</f>
        <v/>
      </c>
      <c r="V38" s="21">
        <f>IF($A38="","",$C38&amp;"|"&amp;TEXT($Q38,"0.0000"))</f>
        <v/>
      </c>
      <c r="W38" s="21">
        <f>IF($A38="","",$C38&amp;"|"&amp;$A38)</f>
        <v/>
      </c>
    </row>
    <row r="39">
      <c r="A39" s="20" t="n"/>
      <c r="B39" s="20">
        <f>IF($A39="","",IFERROR(INDEX(Offerte!$B$2:$B$200,MATCH($A39,Offerte!$A$2:$A$200,0)),""))</f>
        <v/>
      </c>
      <c r="C39" s="20" t="n"/>
      <c r="D39" s="20" t="n"/>
      <c r="E39" s="20" t="n"/>
      <c r="F39" s="20" t="n"/>
      <c r="G39" s="20" t="n"/>
      <c r="H39" s="21">
        <f>IF($C39="L1+L2","L1",IF($C39="L2+L3","L2",IF($C39="L3+L4","L3",IF($C39="L1+L4","L1",""))))</f>
        <v/>
      </c>
      <c r="I39" s="21">
        <f>IF($C39="L1+L2","L2",IF($C39="L2+L3","L3",IF($C39="L3+L4","L4",IF($C39="L1+L4","L4",""))))</f>
        <v/>
      </c>
      <c r="J39" s="21">
        <f>IF($H39="","",IFERROR(INDEX(Offerte!$D$2:$D$200,MATCH($A39&amp;"|"&amp;$H39,Offerte!$L$2:$L$200,0)),0))</f>
        <v/>
      </c>
      <c r="K39" s="21">
        <f>IF($I39="","",IFERROR(INDEX(Offerte!$D$2:$D$200,MATCH($A39&amp;"|"&amp;$I39,Offerte!$L$2:$L$200,0)),0))</f>
        <v/>
      </c>
      <c r="L39" s="21">
        <f>IF($H39="","",IFERROR(INDEX(Offerte!$E$2:$E$200,MATCH($A39&amp;"|"&amp;$H39,Offerte!$L$2:$L$200,0)),0))</f>
        <v/>
      </c>
      <c r="M39" s="21">
        <f>IF($I39="","",IFERROR(INDEX(Offerte!$E$2:$E$200,MATCH($A39&amp;"|"&amp;$I39,Offerte!$L$2:$L$200,0)),0))</f>
        <v/>
      </c>
      <c r="N39" s="21">
        <f>IF($A39="","",IF(IFERROR(VALUE($D39),0)&lt;&gt;1,"NO",IF(AND(IFERROR(VALUE($J39),0)=1,IFERROR(VALUE($K39),0)=1,IFERROR(VALUE($L39),0)&gt;=Parametri!$B$2,IFERROR(VALUE($M39),0)&gt;=Parametri!$B$2,IFERROR(VALUE($F39),0)=1,IFERROR(VALUE($G39),0)=1,IFERROR(VALUE($E39),0)&gt;$U39),"SI","NO")))</f>
        <v/>
      </c>
      <c r="O39" s="21">
        <f>IF($N39="SI",IFERROR(30*(IFERROR(VALUE($E39),0)/MAX(SUMPRODUCT(MAX((Offerte!$C$2:$C$200=$H39)*(IFERROR(Offerte!$D$2:$D$200*1,0)=1)*(IFERROR(Offerte!$E$2:$E$200*1,0)&gt;=Parametri!$B$2)*IFERROR(Offerte!$F$2:$F$200*1,0))),SUMPRODUCT(MAX(($H$5:$H$80=$H39)*($N$5:$N$80="SI")*IFERROR($E$5:$E$80*1,0))),SUMPRODUCT(MAX(($I$5:$I$80=$H39)*($N$5:$N$80="SI")*IFERROR($E$5:$E$80*1,0))))),0),0)</f>
        <v/>
      </c>
      <c r="P39" s="21">
        <f>IF($N39="SI",IFERROR(30*(IFERROR(VALUE($E39),0)/MAX(SUMPRODUCT(MAX((Offerte!$C$2:$C$200=$I39)*(IFERROR(Offerte!$D$2:$D$200*1,0)=1)*(IFERROR(Offerte!$E$2:$E$200*1,0)&gt;=Parametri!$B$2)*IFERROR(Offerte!$F$2:$F$200*1,0))),SUMPRODUCT(MAX(($H$5:$H$80=$I39)*($N$5:$N$80="SI")*IFERROR($E$5:$E$80*1,0))),SUMPRODUCT(MAX(($I$5:$I$80=$I39)*($N$5:$N$80="SI")*IFERROR($E$5:$E$80*1,0))))),0),0)</f>
        <v/>
      </c>
      <c r="Q39" s="21">
        <f>IF($N39="SI",ROUND($L39+$M39+$O39+$P39,4),0)</f>
        <v/>
      </c>
      <c r="R39" s="21">
        <f>IF($A39="","",IF(IFERROR(VALUE($D39),0)&lt;&gt;1,"Non attiva",IF(OR(IFERROR(VALUE($J39),0)&lt;&gt;1,IFERROR(VALUE($K39),0)&lt;&gt;1),"Singoli non attivi",IF(OR(IFERROR(VALUE($L39),0)&lt;Parametri!$B$2,IFERROR(VALUE($M39),0)&lt;Parametri!$B$2),"Soglia non superata",IF(OR(IFERROR(VALUE($F39),0)&lt;&gt;1,IFERROR(VALUE($G39),0)&lt;&gt;1),"Buste/PEF non confermati",IF(IFERROR(VALUE($E39),0)&lt;=$U39,"Ribasso non migliorativo",""))))))</f>
        <v/>
      </c>
      <c r="S39" s="21">
        <f>IF($H39="","",IFERROR(INDEX(Offerte!$F$2:$F$200,MATCH($A39&amp;"|"&amp;$H39,Offerte!$L$2:$L$200,0)),0))</f>
        <v/>
      </c>
      <c r="T39" s="21">
        <f>IF($I39="","",IFERROR(INDEX(Offerte!$F$2:$F$200,MATCH($A39&amp;"|"&amp;$I39,Offerte!$L$2:$L$200,0)),0))</f>
        <v/>
      </c>
      <c r="U39" s="21">
        <f>IF($A39="","",ROUND((IFERROR(VALUE($S39),0)+IFERROR(VALUE($T39),0))/2,4))</f>
        <v/>
      </c>
      <c r="V39" s="21">
        <f>IF($A39="","",$C39&amp;"|"&amp;TEXT($Q39,"0.0000"))</f>
        <v/>
      </c>
      <c r="W39" s="21">
        <f>IF($A39="","",$C39&amp;"|"&amp;$A39)</f>
        <v/>
      </c>
    </row>
    <row r="40">
      <c r="A40" s="20" t="n"/>
      <c r="B40" s="20">
        <f>IF($A40="","",IFERROR(INDEX(Offerte!$B$2:$B$200,MATCH($A40,Offerte!$A$2:$A$200,0)),""))</f>
        <v/>
      </c>
      <c r="C40" s="20" t="n"/>
      <c r="D40" s="20" t="n"/>
      <c r="E40" s="20" t="n"/>
      <c r="F40" s="20" t="n"/>
      <c r="G40" s="20" t="n"/>
      <c r="H40" s="21">
        <f>IF($C40="L1+L2","L1",IF($C40="L2+L3","L2",IF($C40="L3+L4","L3",IF($C40="L1+L4","L1",""))))</f>
        <v/>
      </c>
      <c r="I40" s="21">
        <f>IF($C40="L1+L2","L2",IF($C40="L2+L3","L3",IF($C40="L3+L4","L4",IF($C40="L1+L4","L4",""))))</f>
        <v/>
      </c>
      <c r="J40" s="21">
        <f>IF($H40="","",IFERROR(INDEX(Offerte!$D$2:$D$200,MATCH($A40&amp;"|"&amp;$H40,Offerte!$L$2:$L$200,0)),0))</f>
        <v/>
      </c>
      <c r="K40" s="21">
        <f>IF($I40="","",IFERROR(INDEX(Offerte!$D$2:$D$200,MATCH($A40&amp;"|"&amp;$I40,Offerte!$L$2:$L$200,0)),0))</f>
        <v/>
      </c>
      <c r="L40" s="21">
        <f>IF($H40="","",IFERROR(INDEX(Offerte!$E$2:$E$200,MATCH($A40&amp;"|"&amp;$H40,Offerte!$L$2:$L$200,0)),0))</f>
        <v/>
      </c>
      <c r="M40" s="21">
        <f>IF($I40="","",IFERROR(INDEX(Offerte!$E$2:$E$200,MATCH($A40&amp;"|"&amp;$I40,Offerte!$L$2:$L$200,0)),0))</f>
        <v/>
      </c>
      <c r="N40" s="21">
        <f>IF($A40="","",IF(IFERROR(VALUE($D40),0)&lt;&gt;1,"NO",IF(AND(IFERROR(VALUE($J40),0)=1,IFERROR(VALUE($K40),0)=1,IFERROR(VALUE($L40),0)&gt;=Parametri!$B$2,IFERROR(VALUE($M40),0)&gt;=Parametri!$B$2,IFERROR(VALUE($F40),0)=1,IFERROR(VALUE($G40),0)=1,IFERROR(VALUE($E40),0)&gt;$U40),"SI","NO")))</f>
        <v/>
      </c>
      <c r="O40" s="21">
        <f>IF($N40="SI",IFERROR(30*(IFERROR(VALUE($E40),0)/MAX(SUMPRODUCT(MAX((Offerte!$C$2:$C$200=$H40)*(IFERROR(Offerte!$D$2:$D$200*1,0)=1)*(IFERROR(Offerte!$E$2:$E$200*1,0)&gt;=Parametri!$B$2)*IFERROR(Offerte!$F$2:$F$200*1,0))),SUMPRODUCT(MAX(($H$5:$H$80=$H40)*($N$5:$N$80="SI")*IFERROR($E$5:$E$80*1,0))),SUMPRODUCT(MAX(($I$5:$I$80=$H40)*($N$5:$N$80="SI")*IFERROR($E$5:$E$80*1,0))))),0),0)</f>
        <v/>
      </c>
      <c r="P40" s="21">
        <f>IF($N40="SI",IFERROR(30*(IFERROR(VALUE($E40),0)/MAX(SUMPRODUCT(MAX((Offerte!$C$2:$C$200=$I40)*(IFERROR(Offerte!$D$2:$D$200*1,0)=1)*(IFERROR(Offerte!$E$2:$E$200*1,0)&gt;=Parametri!$B$2)*IFERROR(Offerte!$F$2:$F$200*1,0))),SUMPRODUCT(MAX(($H$5:$H$80=$I40)*($N$5:$N$80="SI")*IFERROR($E$5:$E$80*1,0))),SUMPRODUCT(MAX(($I$5:$I$80=$I40)*($N$5:$N$80="SI")*IFERROR($E$5:$E$80*1,0))))),0),0)</f>
        <v/>
      </c>
      <c r="Q40" s="21">
        <f>IF($N40="SI",ROUND($L40+$M40+$O40+$P40,4),0)</f>
        <v/>
      </c>
      <c r="R40" s="21">
        <f>IF($A40="","",IF(IFERROR(VALUE($D40),0)&lt;&gt;1,"Non attiva",IF(OR(IFERROR(VALUE($J40),0)&lt;&gt;1,IFERROR(VALUE($K40),0)&lt;&gt;1),"Singoli non attivi",IF(OR(IFERROR(VALUE($L40),0)&lt;Parametri!$B$2,IFERROR(VALUE($M40),0)&lt;Parametri!$B$2),"Soglia non superata",IF(OR(IFERROR(VALUE($F40),0)&lt;&gt;1,IFERROR(VALUE($G40),0)&lt;&gt;1),"Buste/PEF non confermati",IF(IFERROR(VALUE($E40),0)&lt;=$U40,"Ribasso non migliorativo",""))))))</f>
        <v/>
      </c>
      <c r="S40" s="21">
        <f>IF($H40="","",IFERROR(INDEX(Offerte!$F$2:$F$200,MATCH($A40&amp;"|"&amp;$H40,Offerte!$L$2:$L$200,0)),0))</f>
        <v/>
      </c>
      <c r="T40" s="21">
        <f>IF($I40="","",IFERROR(INDEX(Offerte!$F$2:$F$200,MATCH($A40&amp;"|"&amp;$I40,Offerte!$L$2:$L$200,0)),0))</f>
        <v/>
      </c>
      <c r="U40" s="21">
        <f>IF($A40="","",ROUND((IFERROR(VALUE($S40),0)+IFERROR(VALUE($T40),0))/2,4))</f>
        <v/>
      </c>
      <c r="V40" s="21">
        <f>IF($A40="","",$C40&amp;"|"&amp;TEXT($Q40,"0.0000"))</f>
        <v/>
      </c>
      <c r="W40" s="21">
        <f>IF($A40="","",$C40&amp;"|"&amp;$A40)</f>
        <v/>
      </c>
    </row>
    <row r="41">
      <c r="A41" s="20" t="n"/>
      <c r="B41" s="20">
        <f>IF($A41="","",IFERROR(INDEX(Offerte!$B$2:$B$200,MATCH($A41,Offerte!$A$2:$A$200,0)),""))</f>
        <v/>
      </c>
      <c r="C41" s="20" t="n"/>
      <c r="D41" s="20" t="n"/>
      <c r="E41" s="20" t="n"/>
      <c r="F41" s="20" t="n"/>
      <c r="G41" s="20" t="n"/>
      <c r="H41" s="21">
        <f>IF($C41="L1+L2","L1",IF($C41="L2+L3","L2",IF($C41="L3+L4","L3",IF($C41="L1+L4","L1",""))))</f>
        <v/>
      </c>
      <c r="I41" s="21">
        <f>IF($C41="L1+L2","L2",IF($C41="L2+L3","L3",IF($C41="L3+L4","L4",IF($C41="L1+L4","L4",""))))</f>
        <v/>
      </c>
      <c r="J41" s="21">
        <f>IF($H41="","",IFERROR(INDEX(Offerte!$D$2:$D$200,MATCH($A41&amp;"|"&amp;$H41,Offerte!$L$2:$L$200,0)),0))</f>
        <v/>
      </c>
      <c r="K41" s="21">
        <f>IF($I41="","",IFERROR(INDEX(Offerte!$D$2:$D$200,MATCH($A41&amp;"|"&amp;$I41,Offerte!$L$2:$L$200,0)),0))</f>
        <v/>
      </c>
      <c r="L41" s="21">
        <f>IF($H41="","",IFERROR(INDEX(Offerte!$E$2:$E$200,MATCH($A41&amp;"|"&amp;$H41,Offerte!$L$2:$L$200,0)),0))</f>
        <v/>
      </c>
      <c r="M41" s="21">
        <f>IF($I41="","",IFERROR(INDEX(Offerte!$E$2:$E$200,MATCH($A41&amp;"|"&amp;$I41,Offerte!$L$2:$L$200,0)),0))</f>
        <v/>
      </c>
      <c r="N41" s="21">
        <f>IF($A41="","",IF(IFERROR(VALUE($D41),0)&lt;&gt;1,"NO",IF(AND(IFERROR(VALUE($J41),0)=1,IFERROR(VALUE($K41),0)=1,IFERROR(VALUE($L41),0)&gt;=Parametri!$B$2,IFERROR(VALUE($M41),0)&gt;=Parametri!$B$2,IFERROR(VALUE($F41),0)=1,IFERROR(VALUE($G41),0)=1,IFERROR(VALUE($E41),0)&gt;$U41),"SI","NO")))</f>
        <v/>
      </c>
      <c r="O41" s="21">
        <f>IF($N41="SI",IFERROR(30*(IFERROR(VALUE($E41),0)/MAX(SUMPRODUCT(MAX((Offerte!$C$2:$C$200=$H41)*(IFERROR(Offerte!$D$2:$D$200*1,0)=1)*(IFERROR(Offerte!$E$2:$E$200*1,0)&gt;=Parametri!$B$2)*IFERROR(Offerte!$F$2:$F$200*1,0))),SUMPRODUCT(MAX(($H$5:$H$80=$H41)*($N$5:$N$80="SI")*IFERROR($E$5:$E$80*1,0))),SUMPRODUCT(MAX(($I$5:$I$80=$H41)*($N$5:$N$80="SI")*IFERROR($E$5:$E$80*1,0))))),0),0)</f>
        <v/>
      </c>
      <c r="P41" s="21">
        <f>IF($N41="SI",IFERROR(30*(IFERROR(VALUE($E41),0)/MAX(SUMPRODUCT(MAX((Offerte!$C$2:$C$200=$I41)*(IFERROR(Offerte!$D$2:$D$200*1,0)=1)*(IFERROR(Offerte!$E$2:$E$200*1,0)&gt;=Parametri!$B$2)*IFERROR(Offerte!$F$2:$F$200*1,0))),SUMPRODUCT(MAX(($H$5:$H$80=$I41)*($N$5:$N$80="SI")*IFERROR($E$5:$E$80*1,0))),SUMPRODUCT(MAX(($I$5:$I$80=$I41)*($N$5:$N$80="SI")*IFERROR($E$5:$E$80*1,0))))),0),0)</f>
        <v/>
      </c>
      <c r="Q41" s="21">
        <f>IF($N41="SI",ROUND($L41+$M41+$O41+$P41,4),0)</f>
        <v/>
      </c>
      <c r="R41" s="21">
        <f>IF($A41="","",IF(IFERROR(VALUE($D41),0)&lt;&gt;1,"Non attiva",IF(OR(IFERROR(VALUE($J41),0)&lt;&gt;1,IFERROR(VALUE($K41),0)&lt;&gt;1),"Singoli non attivi",IF(OR(IFERROR(VALUE($L41),0)&lt;Parametri!$B$2,IFERROR(VALUE($M41),0)&lt;Parametri!$B$2),"Soglia non superata",IF(OR(IFERROR(VALUE($F41),0)&lt;&gt;1,IFERROR(VALUE($G41),0)&lt;&gt;1),"Buste/PEF non confermati",IF(IFERROR(VALUE($E41),0)&lt;=$U41,"Ribasso non migliorativo",""))))))</f>
        <v/>
      </c>
      <c r="S41" s="21">
        <f>IF($H41="","",IFERROR(INDEX(Offerte!$F$2:$F$200,MATCH($A41&amp;"|"&amp;$H41,Offerte!$L$2:$L$200,0)),0))</f>
        <v/>
      </c>
      <c r="T41" s="21">
        <f>IF($I41="","",IFERROR(INDEX(Offerte!$F$2:$F$200,MATCH($A41&amp;"|"&amp;$I41,Offerte!$L$2:$L$200,0)),0))</f>
        <v/>
      </c>
      <c r="U41" s="21">
        <f>IF($A41="","",ROUND((IFERROR(VALUE($S41),0)+IFERROR(VALUE($T41),0))/2,4))</f>
        <v/>
      </c>
      <c r="V41" s="21">
        <f>IF($A41="","",$C41&amp;"|"&amp;TEXT($Q41,"0.0000"))</f>
        <v/>
      </c>
      <c r="W41" s="21">
        <f>IF($A41="","",$C41&amp;"|"&amp;$A41)</f>
        <v/>
      </c>
    </row>
    <row r="42">
      <c r="A42" s="20" t="n"/>
      <c r="B42" s="20">
        <f>IF($A42="","",IFERROR(INDEX(Offerte!$B$2:$B$200,MATCH($A42,Offerte!$A$2:$A$200,0)),""))</f>
        <v/>
      </c>
      <c r="C42" s="20" t="n"/>
      <c r="D42" s="20" t="n"/>
      <c r="E42" s="20" t="n"/>
      <c r="F42" s="20" t="n"/>
      <c r="G42" s="20" t="n"/>
      <c r="H42" s="21">
        <f>IF($C42="L1+L2","L1",IF($C42="L2+L3","L2",IF($C42="L3+L4","L3",IF($C42="L1+L4","L1",""))))</f>
        <v/>
      </c>
      <c r="I42" s="21">
        <f>IF($C42="L1+L2","L2",IF($C42="L2+L3","L3",IF($C42="L3+L4","L4",IF($C42="L1+L4","L4",""))))</f>
        <v/>
      </c>
      <c r="J42" s="21">
        <f>IF($H42="","",IFERROR(INDEX(Offerte!$D$2:$D$200,MATCH($A42&amp;"|"&amp;$H42,Offerte!$L$2:$L$200,0)),0))</f>
        <v/>
      </c>
      <c r="K42" s="21">
        <f>IF($I42="","",IFERROR(INDEX(Offerte!$D$2:$D$200,MATCH($A42&amp;"|"&amp;$I42,Offerte!$L$2:$L$200,0)),0))</f>
        <v/>
      </c>
      <c r="L42" s="21">
        <f>IF($H42="","",IFERROR(INDEX(Offerte!$E$2:$E$200,MATCH($A42&amp;"|"&amp;$H42,Offerte!$L$2:$L$200,0)),0))</f>
        <v/>
      </c>
      <c r="M42" s="21">
        <f>IF($I42="","",IFERROR(INDEX(Offerte!$E$2:$E$200,MATCH($A42&amp;"|"&amp;$I42,Offerte!$L$2:$L$200,0)),0))</f>
        <v/>
      </c>
      <c r="N42" s="21">
        <f>IF($A42="","",IF(IFERROR(VALUE($D42),0)&lt;&gt;1,"NO",IF(AND(IFERROR(VALUE($J42),0)=1,IFERROR(VALUE($K42),0)=1,IFERROR(VALUE($L42),0)&gt;=Parametri!$B$2,IFERROR(VALUE($M42),0)&gt;=Parametri!$B$2,IFERROR(VALUE($F42),0)=1,IFERROR(VALUE($G42),0)=1,IFERROR(VALUE($E42),0)&gt;$U42),"SI","NO")))</f>
        <v/>
      </c>
      <c r="O42" s="21">
        <f>IF($N42="SI",IFERROR(30*(IFERROR(VALUE($E42),0)/MAX(SUMPRODUCT(MAX((Offerte!$C$2:$C$200=$H42)*(IFERROR(Offerte!$D$2:$D$200*1,0)=1)*(IFERROR(Offerte!$E$2:$E$200*1,0)&gt;=Parametri!$B$2)*IFERROR(Offerte!$F$2:$F$200*1,0))),SUMPRODUCT(MAX(($H$5:$H$80=$H42)*($N$5:$N$80="SI")*IFERROR($E$5:$E$80*1,0))),SUMPRODUCT(MAX(($I$5:$I$80=$H42)*($N$5:$N$80="SI")*IFERROR($E$5:$E$80*1,0))))),0),0)</f>
        <v/>
      </c>
      <c r="P42" s="21">
        <f>IF($N42="SI",IFERROR(30*(IFERROR(VALUE($E42),0)/MAX(SUMPRODUCT(MAX((Offerte!$C$2:$C$200=$I42)*(IFERROR(Offerte!$D$2:$D$200*1,0)=1)*(IFERROR(Offerte!$E$2:$E$200*1,0)&gt;=Parametri!$B$2)*IFERROR(Offerte!$F$2:$F$200*1,0))),SUMPRODUCT(MAX(($H$5:$H$80=$I42)*($N$5:$N$80="SI")*IFERROR($E$5:$E$80*1,0))),SUMPRODUCT(MAX(($I$5:$I$80=$I42)*($N$5:$N$80="SI")*IFERROR($E$5:$E$80*1,0))))),0),0)</f>
        <v/>
      </c>
      <c r="Q42" s="21">
        <f>IF($N42="SI",ROUND($L42+$M42+$O42+$P42,4),0)</f>
        <v/>
      </c>
      <c r="R42" s="21">
        <f>IF($A42="","",IF(IFERROR(VALUE($D42),0)&lt;&gt;1,"Non attiva",IF(OR(IFERROR(VALUE($J42),0)&lt;&gt;1,IFERROR(VALUE($K42),0)&lt;&gt;1),"Singoli non attivi",IF(OR(IFERROR(VALUE($L42),0)&lt;Parametri!$B$2,IFERROR(VALUE($M42),0)&lt;Parametri!$B$2),"Soglia non superata",IF(OR(IFERROR(VALUE($F42),0)&lt;&gt;1,IFERROR(VALUE($G42),0)&lt;&gt;1),"Buste/PEF non confermati",IF(IFERROR(VALUE($E42),0)&lt;=$U42,"Ribasso non migliorativo",""))))))</f>
        <v/>
      </c>
      <c r="S42" s="21">
        <f>IF($H42="","",IFERROR(INDEX(Offerte!$F$2:$F$200,MATCH($A42&amp;"|"&amp;$H42,Offerte!$L$2:$L$200,0)),0))</f>
        <v/>
      </c>
      <c r="T42" s="21">
        <f>IF($I42="","",IFERROR(INDEX(Offerte!$F$2:$F$200,MATCH($A42&amp;"|"&amp;$I42,Offerte!$L$2:$L$200,0)),0))</f>
        <v/>
      </c>
      <c r="U42" s="21">
        <f>IF($A42="","",ROUND((IFERROR(VALUE($S42),0)+IFERROR(VALUE($T42),0))/2,4))</f>
        <v/>
      </c>
      <c r="V42" s="21">
        <f>IF($A42="","",$C42&amp;"|"&amp;TEXT($Q42,"0.0000"))</f>
        <v/>
      </c>
      <c r="W42" s="21">
        <f>IF($A42="","",$C42&amp;"|"&amp;$A42)</f>
        <v/>
      </c>
    </row>
    <row r="43">
      <c r="A43" s="20" t="n"/>
      <c r="B43" s="20">
        <f>IF($A43="","",IFERROR(INDEX(Offerte!$B$2:$B$200,MATCH($A43,Offerte!$A$2:$A$200,0)),""))</f>
        <v/>
      </c>
      <c r="C43" s="20" t="n"/>
      <c r="D43" s="20" t="n"/>
      <c r="E43" s="20" t="n"/>
      <c r="F43" s="20" t="n"/>
      <c r="G43" s="20" t="n"/>
      <c r="H43" s="21">
        <f>IF($C43="L1+L2","L1",IF($C43="L2+L3","L2",IF($C43="L3+L4","L3",IF($C43="L1+L4","L1",""))))</f>
        <v/>
      </c>
      <c r="I43" s="21">
        <f>IF($C43="L1+L2","L2",IF($C43="L2+L3","L3",IF($C43="L3+L4","L4",IF($C43="L1+L4","L4",""))))</f>
        <v/>
      </c>
      <c r="J43" s="21">
        <f>IF($H43="","",IFERROR(INDEX(Offerte!$D$2:$D$200,MATCH($A43&amp;"|"&amp;$H43,Offerte!$L$2:$L$200,0)),0))</f>
        <v/>
      </c>
      <c r="K43" s="21">
        <f>IF($I43="","",IFERROR(INDEX(Offerte!$D$2:$D$200,MATCH($A43&amp;"|"&amp;$I43,Offerte!$L$2:$L$200,0)),0))</f>
        <v/>
      </c>
      <c r="L43" s="21">
        <f>IF($H43="","",IFERROR(INDEX(Offerte!$E$2:$E$200,MATCH($A43&amp;"|"&amp;$H43,Offerte!$L$2:$L$200,0)),0))</f>
        <v/>
      </c>
      <c r="M43" s="21">
        <f>IF($I43="","",IFERROR(INDEX(Offerte!$E$2:$E$200,MATCH($A43&amp;"|"&amp;$I43,Offerte!$L$2:$L$200,0)),0))</f>
        <v/>
      </c>
      <c r="N43" s="21">
        <f>IF($A43="","",IF(IFERROR(VALUE($D43),0)&lt;&gt;1,"NO",IF(AND(IFERROR(VALUE($J43),0)=1,IFERROR(VALUE($K43),0)=1,IFERROR(VALUE($L43),0)&gt;=Parametri!$B$2,IFERROR(VALUE($M43),0)&gt;=Parametri!$B$2,IFERROR(VALUE($F43),0)=1,IFERROR(VALUE($G43),0)=1,IFERROR(VALUE($E43),0)&gt;$U43),"SI","NO")))</f>
        <v/>
      </c>
      <c r="O43" s="21">
        <f>IF($N43="SI",IFERROR(30*(IFERROR(VALUE($E43),0)/MAX(SUMPRODUCT(MAX((Offerte!$C$2:$C$200=$H43)*(IFERROR(Offerte!$D$2:$D$200*1,0)=1)*(IFERROR(Offerte!$E$2:$E$200*1,0)&gt;=Parametri!$B$2)*IFERROR(Offerte!$F$2:$F$200*1,0))),SUMPRODUCT(MAX(($H$5:$H$80=$H43)*($N$5:$N$80="SI")*IFERROR($E$5:$E$80*1,0))),SUMPRODUCT(MAX(($I$5:$I$80=$H43)*($N$5:$N$80="SI")*IFERROR($E$5:$E$80*1,0))))),0),0)</f>
        <v/>
      </c>
      <c r="P43" s="21">
        <f>IF($N43="SI",IFERROR(30*(IFERROR(VALUE($E43),0)/MAX(SUMPRODUCT(MAX((Offerte!$C$2:$C$200=$I43)*(IFERROR(Offerte!$D$2:$D$200*1,0)=1)*(IFERROR(Offerte!$E$2:$E$200*1,0)&gt;=Parametri!$B$2)*IFERROR(Offerte!$F$2:$F$200*1,0))),SUMPRODUCT(MAX(($H$5:$H$80=$I43)*($N$5:$N$80="SI")*IFERROR($E$5:$E$80*1,0))),SUMPRODUCT(MAX(($I$5:$I$80=$I43)*($N$5:$N$80="SI")*IFERROR($E$5:$E$80*1,0))))),0),0)</f>
        <v/>
      </c>
      <c r="Q43" s="21">
        <f>IF($N43="SI",ROUND($L43+$M43+$O43+$P43,4),0)</f>
        <v/>
      </c>
      <c r="R43" s="21">
        <f>IF($A43="","",IF(IFERROR(VALUE($D43),0)&lt;&gt;1,"Non attiva",IF(OR(IFERROR(VALUE($J43),0)&lt;&gt;1,IFERROR(VALUE($K43),0)&lt;&gt;1),"Singoli non attivi",IF(OR(IFERROR(VALUE($L43),0)&lt;Parametri!$B$2,IFERROR(VALUE($M43),0)&lt;Parametri!$B$2),"Soglia non superata",IF(OR(IFERROR(VALUE($F43),0)&lt;&gt;1,IFERROR(VALUE($G43),0)&lt;&gt;1),"Buste/PEF non confermati",IF(IFERROR(VALUE($E43),0)&lt;=$U43,"Ribasso non migliorativo",""))))))</f>
        <v/>
      </c>
      <c r="S43" s="21">
        <f>IF($H43="","",IFERROR(INDEX(Offerte!$F$2:$F$200,MATCH($A43&amp;"|"&amp;$H43,Offerte!$L$2:$L$200,0)),0))</f>
        <v/>
      </c>
      <c r="T43" s="21">
        <f>IF($I43="","",IFERROR(INDEX(Offerte!$F$2:$F$200,MATCH($A43&amp;"|"&amp;$I43,Offerte!$L$2:$L$200,0)),0))</f>
        <v/>
      </c>
      <c r="U43" s="21">
        <f>IF($A43="","",ROUND((IFERROR(VALUE($S43),0)+IFERROR(VALUE($T43),0))/2,4))</f>
        <v/>
      </c>
      <c r="V43" s="21">
        <f>IF($A43="","",$C43&amp;"|"&amp;TEXT($Q43,"0.0000"))</f>
        <v/>
      </c>
      <c r="W43" s="21">
        <f>IF($A43="","",$C43&amp;"|"&amp;$A43)</f>
        <v/>
      </c>
    </row>
    <row r="44">
      <c r="A44" s="20" t="n"/>
      <c r="B44" s="20">
        <f>IF($A44="","",IFERROR(INDEX(Offerte!$B$2:$B$200,MATCH($A44,Offerte!$A$2:$A$200,0)),""))</f>
        <v/>
      </c>
      <c r="C44" s="20" t="n"/>
      <c r="D44" s="20" t="n"/>
      <c r="E44" s="20" t="n"/>
      <c r="F44" s="20" t="n"/>
      <c r="G44" s="20" t="n"/>
      <c r="H44" s="21">
        <f>IF($C44="L1+L2","L1",IF($C44="L2+L3","L2",IF($C44="L3+L4","L3",IF($C44="L1+L4","L1",""))))</f>
        <v/>
      </c>
      <c r="I44" s="21">
        <f>IF($C44="L1+L2","L2",IF($C44="L2+L3","L3",IF($C44="L3+L4","L4",IF($C44="L1+L4","L4",""))))</f>
        <v/>
      </c>
      <c r="J44" s="21">
        <f>IF($H44="","",IFERROR(INDEX(Offerte!$D$2:$D$200,MATCH($A44&amp;"|"&amp;$H44,Offerte!$L$2:$L$200,0)),0))</f>
        <v/>
      </c>
      <c r="K44" s="21">
        <f>IF($I44="","",IFERROR(INDEX(Offerte!$D$2:$D$200,MATCH($A44&amp;"|"&amp;$I44,Offerte!$L$2:$L$200,0)),0))</f>
        <v/>
      </c>
      <c r="L44" s="21">
        <f>IF($H44="","",IFERROR(INDEX(Offerte!$E$2:$E$200,MATCH($A44&amp;"|"&amp;$H44,Offerte!$L$2:$L$200,0)),0))</f>
        <v/>
      </c>
      <c r="M44" s="21">
        <f>IF($I44="","",IFERROR(INDEX(Offerte!$E$2:$E$200,MATCH($A44&amp;"|"&amp;$I44,Offerte!$L$2:$L$200,0)),0))</f>
        <v/>
      </c>
      <c r="N44" s="21">
        <f>IF($A44="","",IF(IFERROR(VALUE($D44),0)&lt;&gt;1,"NO",IF(AND(IFERROR(VALUE($J44),0)=1,IFERROR(VALUE($K44),0)=1,IFERROR(VALUE($L44),0)&gt;=Parametri!$B$2,IFERROR(VALUE($M44),0)&gt;=Parametri!$B$2,IFERROR(VALUE($F44),0)=1,IFERROR(VALUE($G44),0)=1,IFERROR(VALUE($E44),0)&gt;$U44),"SI","NO")))</f>
        <v/>
      </c>
      <c r="O44" s="21">
        <f>IF($N44="SI",IFERROR(30*(IFERROR(VALUE($E44),0)/MAX(SUMPRODUCT(MAX((Offerte!$C$2:$C$200=$H44)*(IFERROR(Offerte!$D$2:$D$200*1,0)=1)*(IFERROR(Offerte!$E$2:$E$200*1,0)&gt;=Parametri!$B$2)*IFERROR(Offerte!$F$2:$F$200*1,0))),SUMPRODUCT(MAX(($H$5:$H$80=$H44)*($N$5:$N$80="SI")*IFERROR($E$5:$E$80*1,0))),SUMPRODUCT(MAX(($I$5:$I$80=$H44)*($N$5:$N$80="SI")*IFERROR($E$5:$E$80*1,0))))),0),0)</f>
        <v/>
      </c>
      <c r="P44" s="21">
        <f>IF($N44="SI",IFERROR(30*(IFERROR(VALUE($E44),0)/MAX(SUMPRODUCT(MAX((Offerte!$C$2:$C$200=$I44)*(IFERROR(Offerte!$D$2:$D$200*1,0)=1)*(IFERROR(Offerte!$E$2:$E$200*1,0)&gt;=Parametri!$B$2)*IFERROR(Offerte!$F$2:$F$200*1,0))),SUMPRODUCT(MAX(($H$5:$H$80=$I44)*($N$5:$N$80="SI")*IFERROR($E$5:$E$80*1,0))),SUMPRODUCT(MAX(($I$5:$I$80=$I44)*($N$5:$N$80="SI")*IFERROR($E$5:$E$80*1,0))))),0),0)</f>
        <v/>
      </c>
      <c r="Q44" s="21">
        <f>IF($N44="SI",ROUND($L44+$M44+$O44+$P44,4),0)</f>
        <v/>
      </c>
      <c r="R44" s="21">
        <f>IF($A44="","",IF(IFERROR(VALUE($D44),0)&lt;&gt;1,"Non attiva",IF(OR(IFERROR(VALUE($J44),0)&lt;&gt;1,IFERROR(VALUE($K44),0)&lt;&gt;1),"Singoli non attivi",IF(OR(IFERROR(VALUE($L44),0)&lt;Parametri!$B$2,IFERROR(VALUE($M44),0)&lt;Parametri!$B$2),"Soglia non superata",IF(OR(IFERROR(VALUE($F44),0)&lt;&gt;1,IFERROR(VALUE($G44),0)&lt;&gt;1),"Buste/PEF non confermati",IF(IFERROR(VALUE($E44),0)&lt;=$U44,"Ribasso non migliorativo",""))))))</f>
        <v/>
      </c>
      <c r="S44" s="21">
        <f>IF($H44="","",IFERROR(INDEX(Offerte!$F$2:$F$200,MATCH($A44&amp;"|"&amp;$H44,Offerte!$L$2:$L$200,0)),0))</f>
        <v/>
      </c>
      <c r="T44" s="21">
        <f>IF($I44="","",IFERROR(INDEX(Offerte!$F$2:$F$200,MATCH($A44&amp;"|"&amp;$I44,Offerte!$L$2:$L$200,0)),0))</f>
        <v/>
      </c>
      <c r="U44" s="21">
        <f>IF($A44="","",ROUND((IFERROR(VALUE($S44),0)+IFERROR(VALUE($T44),0))/2,4))</f>
        <v/>
      </c>
      <c r="V44" s="21">
        <f>IF($A44="","",$C44&amp;"|"&amp;TEXT($Q44,"0.0000"))</f>
        <v/>
      </c>
      <c r="W44" s="21">
        <f>IF($A44="","",$C44&amp;"|"&amp;$A44)</f>
        <v/>
      </c>
    </row>
    <row r="45">
      <c r="A45" s="20" t="n"/>
      <c r="B45" s="20">
        <f>IF($A45="","",IFERROR(INDEX(Offerte!$B$2:$B$200,MATCH($A45,Offerte!$A$2:$A$200,0)),""))</f>
        <v/>
      </c>
      <c r="C45" s="20" t="n"/>
      <c r="D45" s="20" t="n"/>
      <c r="E45" s="20" t="n"/>
      <c r="F45" s="20" t="n"/>
      <c r="G45" s="20" t="n"/>
      <c r="H45" s="21">
        <f>IF($C45="L1+L2","L1",IF($C45="L2+L3","L2",IF($C45="L3+L4","L3",IF($C45="L1+L4","L1",""))))</f>
        <v/>
      </c>
      <c r="I45" s="21">
        <f>IF($C45="L1+L2","L2",IF($C45="L2+L3","L3",IF($C45="L3+L4","L4",IF($C45="L1+L4","L4",""))))</f>
        <v/>
      </c>
      <c r="J45" s="21">
        <f>IF($H45="","",IFERROR(INDEX(Offerte!$D$2:$D$200,MATCH($A45&amp;"|"&amp;$H45,Offerte!$L$2:$L$200,0)),0))</f>
        <v/>
      </c>
      <c r="K45" s="21">
        <f>IF($I45="","",IFERROR(INDEX(Offerte!$D$2:$D$200,MATCH($A45&amp;"|"&amp;$I45,Offerte!$L$2:$L$200,0)),0))</f>
        <v/>
      </c>
      <c r="L45" s="21">
        <f>IF($H45="","",IFERROR(INDEX(Offerte!$E$2:$E$200,MATCH($A45&amp;"|"&amp;$H45,Offerte!$L$2:$L$200,0)),0))</f>
        <v/>
      </c>
      <c r="M45" s="21">
        <f>IF($I45="","",IFERROR(INDEX(Offerte!$E$2:$E$200,MATCH($A45&amp;"|"&amp;$I45,Offerte!$L$2:$L$200,0)),0))</f>
        <v/>
      </c>
      <c r="N45" s="21">
        <f>IF($A45="","",IF(IFERROR(VALUE($D45),0)&lt;&gt;1,"NO",IF(AND(IFERROR(VALUE($J45),0)=1,IFERROR(VALUE($K45),0)=1,IFERROR(VALUE($L45),0)&gt;=Parametri!$B$2,IFERROR(VALUE($M45),0)&gt;=Parametri!$B$2,IFERROR(VALUE($F45),0)=1,IFERROR(VALUE($G45),0)=1,IFERROR(VALUE($E45),0)&gt;$U45),"SI","NO")))</f>
        <v/>
      </c>
      <c r="O45" s="21">
        <f>IF($N45="SI",IFERROR(30*(IFERROR(VALUE($E45),0)/MAX(SUMPRODUCT(MAX((Offerte!$C$2:$C$200=$H45)*(IFERROR(Offerte!$D$2:$D$200*1,0)=1)*(IFERROR(Offerte!$E$2:$E$200*1,0)&gt;=Parametri!$B$2)*IFERROR(Offerte!$F$2:$F$200*1,0))),SUMPRODUCT(MAX(($H$5:$H$80=$H45)*($N$5:$N$80="SI")*IFERROR($E$5:$E$80*1,0))),SUMPRODUCT(MAX(($I$5:$I$80=$H45)*($N$5:$N$80="SI")*IFERROR($E$5:$E$80*1,0))))),0),0)</f>
        <v/>
      </c>
      <c r="P45" s="21">
        <f>IF($N45="SI",IFERROR(30*(IFERROR(VALUE($E45),0)/MAX(SUMPRODUCT(MAX((Offerte!$C$2:$C$200=$I45)*(IFERROR(Offerte!$D$2:$D$200*1,0)=1)*(IFERROR(Offerte!$E$2:$E$200*1,0)&gt;=Parametri!$B$2)*IFERROR(Offerte!$F$2:$F$200*1,0))),SUMPRODUCT(MAX(($H$5:$H$80=$I45)*($N$5:$N$80="SI")*IFERROR($E$5:$E$80*1,0))),SUMPRODUCT(MAX(($I$5:$I$80=$I45)*($N$5:$N$80="SI")*IFERROR($E$5:$E$80*1,0))))),0),0)</f>
        <v/>
      </c>
      <c r="Q45" s="21">
        <f>IF($N45="SI",ROUND($L45+$M45+$O45+$P45,4),0)</f>
        <v/>
      </c>
      <c r="R45" s="21">
        <f>IF($A45="","",IF(IFERROR(VALUE($D45),0)&lt;&gt;1,"Non attiva",IF(OR(IFERROR(VALUE($J45),0)&lt;&gt;1,IFERROR(VALUE($K45),0)&lt;&gt;1),"Singoli non attivi",IF(OR(IFERROR(VALUE($L45),0)&lt;Parametri!$B$2,IFERROR(VALUE($M45),0)&lt;Parametri!$B$2),"Soglia non superata",IF(OR(IFERROR(VALUE($F45),0)&lt;&gt;1,IFERROR(VALUE($G45),0)&lt;&gt;1),"Buste/PEF non confermati",IF(IFERROR(VALUE($E45),0)&lt;=$U45,"Ribasso non migliorativo",""))))))</f>
        <v/>
      </c>
      <c r="S45" s="21">
        <f>IF($H45="","",IFERROR(INDEX(Offerte!$F$2:$F$200,MATCH($A45&amp;"|"&amp;$H45,Offerte!$L$2:$L$200,0)),0))</f>
        <v/>
      </c>
      <c r="T45" s="21">
        <f>IF($I45="","",IFERROR(INDEX(Offerte!$F$2:$F$200,MATCH($A45&amp;"|"&amp;$I45,Offerte!$L$2:$L$200,0)),0))</f>
        <v/>
      </c>
      <c r="U45" s="21">
        <f>IF($A45="","",ROUND((IFERROR(VALUE($S45),0)+IFERROR(VALUE($T45),0))/2,4))</f>
        <v/>
      </c>
      <c r="V45" s="21">
        <f>IF($A45="","",$C45&amp;"|"&amp;TEXT($Q45,"0.0000"))</f>
        <v/>
      </c>
      <c r="W45" s="21">
        <f>IF($A45="","",$C45&amp;"|"&amp;$A45)</f>
        <v/>
      </c>
    </row>
    <row r="46">
      <c r="A46" s="20" t="n"/>
      <c r="B46" s="20">
        <f>IF($A46="","",IFERROR(INDEX(Offerte!$B$2:$B$200,MATCH($A46,Offerte!$A$2:$A$200,0)),""))</f>
        <v/>
      </c>
      <c r="C46" s="20" t="n"/>
      <c r="D46" s="20" t="n"/>
      <c r="E46" s="20" t="n"/>
      <c r="F46" s="20" t="n"/>
      <c r="G46" s="20" t="n"/>
      <c r="H46" s="21">
        <f>IF($C46="L1+L2","L1",IF($C46="L2+L3","L2",IF($C46="L3+L4","L3",IF($C46="L1+L4","L1",""))))</f>
        <v/>
      </c>
      <c r="I46" s="21">
        <f>IF($C46="L1+L2","L2",IF($C46="L2+L3","L3",IF($C46="L3+L4","L4",IF($C46="L1+L4","L4",""))))</f>
        <v/>
      </c>
      <c r="J46" s="21">
        <f>IF($H46="","",IFERROR(INDEX(Offerte!$D$2:$D$200,MATCH($A46&amp;"|"&amp;$H46,Offerte!$L$2:$L$200,0)),0))</f>
        <v/>
      </c>
      <c r="K46" s="21">
        <f>IF($I46="","",IFERROR(INDEX(Offerte!$D$2:$D$200,MATCH($A46&amp;"|"&amp;$I46,Offerte!$L$2:$L$200,0)),0))</f>
        <v/>
      </c>
      <c r="L46" s="21">
        <f>IF($H46="","",IFERROR(INDEX(Offerte!$E$2:$E$200,MATCH($A46&amp;"|"&amp;$H46,Offerte!$L$2:$L$200,0)),0))</f>
        <v/>
      </c>
      <c r="M46" s="21">
        <f>IF($I46="","",IFERROR(INDEX(Offerte!$E$2:$E$200,MATCH($A46&amp;"|"&amp;$I46,Offerte!$L$2:$L$200,0)),0))</f>
        <v/>
      </c>
      <c r="N46" s="21">
        <f>IF($A46="","",IF(IFERROR(VALUE($D46),0)&lt;&gt;1,"NO",IF(AND(IFERROR(VALUE($J46),0)=1,IFERROR(VALUE($K46),0)=1,IFERROR(VALUE($L46),0)&gt;=Parametri!$B$2,IFERROR(VALUE($M46),0)&gt;=Parametri!$B$2,IFERROR(VALUE($F46),0)=1,IFERROR(VALUE($G46),0)=1,IFERROR(VALUE($E46),0)&gt;$U46),"SI","NO")))</f>
        <v/>
      </c>
      <c r="O46" s="21">
        <f>IF($N46="SI",IFERROR(30*(IFERROR(VALUE($E46),0)/MAX(SUMPRODUCT(MAX((Offerte!$C$2:$C$200=$H46)*(IFERROR(Offerte!$D$2:$D$200*1,0)=1)*(IFERROR(Offerte!$E$2:$E$200*1,0)&gt;=Parametri!$B$2)*IFERROR(Offerte!$F$2:$F$200*1,0))),SUMPRODUCT(MAX(($H$5:$H$80=$H46)*($N$5:$N$80="SI")*IFERROR($E$5:$E$80*1,0))),SUMPRODUCT(MAX(($I$5:$I$80=$H46)*($N$5:$N$80="SI")*IFERROR($E$5:$E$80*1,0))))),0),0)</f>
        <v/>
      </c>
      <c r="P46" s="21">
        <f>IF($N46="SI",IFERROR(30*(IFERROR(VALUE($E46),0)/MAX(SUMPRODUCT(MAX((Offerte!$C$2:$C$200=$I46)*(IFERROR(Offerte!$D$2:$D$200*1,0)=1)*(IFERROR(Offerte!$E$2:$E$200*1,0)&gt;=Parametri!$B$2)*IFERROR(Offerte!$F$2:$F$200*1,0))),SUMPRODUCT(MAX(($H$5:$H$80=$I46)*($N$5:$N$80="SI")*IFERROR($E$5:$E$80*1,0))),SUMPRODUCT(MAX(($I$5:$I$80=$I46)*($N$5:$N$80="SI")*IFERROR($E$5:$E$80*1,0))))),0),0)</f>
        <v/>
      </c>
      <c r="Q46" s="21">
        <f>IF($N46="SI",ROUND($L46+$M46+$O46+$P46,4),0)</f>
        <v/>
      </c>
      <c r="R46" s="21">
        <f>IF($A46="","",IF(IFERROR(VALUE($D46),0)&lt;&gt;1,"Non attiva",IF(OR(IFERROR(VALUE($J46),0)&lt;&gt;1,IFERROR(VALUE($K46),0)&lt;&gt;1),"Singoli non attivi",IF(OR(IFERROR(VALUE($L46),0)&lt;Parametri!$B$2,IFERROR(VALUE($M46),0)&lt;Parametri!$B$2),"Soglia non superata",IF(OR(IFERROR(VALUE($F46),0)&lt;&gt;1,IFERROR(VALUE($G46),0)&lt;&gt;1),"Buste/PEF non confermati",IF(IFERROR(VALUE($E46),0)&lt;=$U46,"Ribasso non migliorativo",""))))))</f>
        <v/>
      </c>
      <c r="S46" s="21">
        <f>IF($H46="","",IFERROR(INDEX(Offerte!$F$2:$F$200,MATCH($A46&amp;"|"&amp;$H46,Offerte!$L$2:$L$200,0)),0))</f>
        <v/>
      </c>
      <c r="T46" s="21">
        <f>IF($I46="","",IFERROR(INDEX(Offerte!$F$2:$F$200,MATCH($A46&amp;"|"&amp;$I46,Offerte!$L$2:$L$200,0)),0))</f>
        <v/>
      </c>
      <c r="U46" s="21">
        <f>IF($A46="","",ROUND((IFERROR(VALUE($S46),0)+IFERROR(VALUE($T46),0))/2,4))</f>
        <v/>
      </c>
      <c r="V46" s="21">
        <f>IF($A46="","",$C46&amp;"|"&amp;TEXT($Q46,"0.0000"))</f>
        <v/>
      </c>
      <c r="W46" s="21">
        <f>IF($A46="","",$C46&amp;"|"&amp;$A46)</f>
        <v/>
      </c>
    </row>
    <row r="47">
      <c r="A47" s="20" t="n"/>
      <c r="B47" s="20">
        <f>IF($A47="","",IFERROR(INDEX(Offerte!$B$2:$B$200,MATCH($A47,Offerte!$A$2:$A$200,0)),""))</f>
        <v/>
      </c>
      <c r="C47" s="20" t="n"/>
      <c r="D47" s="20" t="n"/>
      <c r="E47" s="20" t="n"/>
      <c r="F47" s="20" t="n"/>
      <c r="G47" s="20" t="n"/>
      <c r="H47" s="21">
        <f>IF($C47="L1+L2","L1",IF($C47="L2+L3","L2",IF($C47="L3+L4","L3",IF($C47="L1+L4","L1",""))))</f>
        <v/>
      </c>
      <c r="I47" s="21">
        <f>IF($C47="L1+L2","L2",IF($C47="L2+L3","L3",IF($C47="L3+L4","L4",IF($C47="L1+L4","L4",""))))</f>
        <v/>
      </c>
      <c r="J47" s="21">
        <f>IF($H47="","",IFERROR(INDEX(Offerte!$D$2:$D$200,MATCH($A47&amp;"|"&amp;$H47,Offerte!$L$2:$L$200,0)),0))</f>
        <v/>
      </c>
      <c r="K47" s="21">
        <f>IF($I47="","",IFERROR(INDEX(Offerte!$D$2:$D$200,MATCH($A47&amp;"|"&amp;$I47,Offerte!$L$2:$L$200,0)),0))</f>
        <v/>
      </c>
      <c r="L47" s="21">
        <f>IF($H47="","",IFERROR(INDEX(Offerte!$E$2:$E$200,MATCH($A47&amp;"|"&amp;$H47,Offerte!$L$2:$L$200,0)),0))</f>
        <v/>
      </c>
      <c r="M47" s="21">
        <f>IF($I47="","",IFERROR(INDEX(Offerte!$E$2:$E$200,MATCH($A47&amp;"|"&amp;$I47,Offerte!$L$2:$L$200,0)),0))</f>
        <v/>
      </c>
      <c r="N47" s="21">
        <f>IF($A47="","",IF(IFERROR(VALUE($D47),0)&lt;&gt;1,"NO",IF(AND(IFERROR(VALUE($J47),0)=1,IFERROR(VALUE($K47),0)=1,IFERROR(VALUE($L47),0)&gt;=Parametri!$B$2,IFERROR(VALUE($M47),0)&gt;=Parametri!$B$2,IFERROR(VALUE($F47),0)=1,IFERROR(VALUE($G47),0)=1,IFERROR(VALUE($E47),0)&gt;$U47),"SI","NO")))</f>
        <v/>
      </c>
      <c r="O47" s="21">
        <f>IF($N47="SI",IFERROR(30*(IFERROR(VALUE($E47),0)/MAX(SUMPRODUCT(MAX((Offerte!$C$2:$C$200=$H47)*(IFERROR(Offerte!$D$2:$D$200*1,0)=1)*(IFERROR(Offerte!$E$2:$E$200*1,0)&gt;=Parametri!$B$2)*IFERROR(Offerte!$F$2:$F$200*1,0))),SUMPRODUCT(MAX(($H$5:$H$80=$H47)*($N$5:$N$80="SI")*IFERROR($E$5:$E$80*1,0))),SUMPRODUCT(MAX(($I$5:$I$80=$H47)*($N$5:$N$80="SI")*IFERROR($E$5:$E$80*1,0))))),0),0)</f>
        <v/>
      </c>
      <c r="P47" s="21">
        <f>IF($N47="SI",IFERROR(30*(IFERROR(VALUE($E47),0)/MAX(SUMPRODUCT(MAX((Offerte!$C$2:$C$200=$I47)*(IFERROR(Offerte!$D$2:$D$200*1,0)=1)*(IFERROR(Offerte!$E$2:$E$200*1,0)&gt;=Parametri!$B$2)*IFERROR(Offerte!$F$2:$F$200*1,0))),SUMPRODUCT(MAX(($H$5:$H$80=$I47)*($N$5:$N$80="SI")*IFERROR($E$5:$E$80*1,0))),SUMPRODUCT(MAX(($I$5:$I$80=$I47)*($N$5:$N$80="SI")*IFERROR($E$5:$E$80*1,0))))),0),0)</f>
        <v/>
      </c>
      <c r="Q47" s="21">
        <f>IF($N47="SI",ROUND($L47+$M47+$O47+$P47,4),0)</f>
        <v/>
      </c>
      <c r="R47" s="21">
        <f>IF($A47="","",IF(IFERROR(VALUE($D47),0)&lt;&gt;1,"Non attiva",IF(OR(IFERROR(VALUE($J47),0)&lt;&gt;1,IFERROR(VALUE($K47),0)&lt;&gt;1),"Singoli non attivi",IF(OR(IFERROR(VALUE($L47),0)&lt;Parametri!$B$2,IFERROR(VALUE($M47),0)&lt;Parametri!$B$2),"Soglia non superata",IF(OR(IFERROR(VALUE($F47),0)&lt;&gt;1,IFERROR(VALUE($G47),0)&lt;&gt;1),"Buste/PEF non confermati",IF(IFERROR(VALUE($E47),0)&lt;=$U47,"Ribasso non migliorativo",""))))))</f>
        <v/>
      </c>
      <c r="S47" s="21">
        <f>IF($H47="","",IFERROR(INDEX(Offerte!$F$2:$F$200,MATCH($A47&amp;"|"&amp;$H47,Offerte!$L$2:$L$200,0)),0))</f>
        <v/>
      </c>
      <c r="T47" s="21">
        <f>IF($I47="","",IFERROR(INDEX(Offerte!$F$2:$F$200,MATCH($A47&amp;"|"&amp;$I47,Offerte!$L$2:$L$200,0)),0))</f>
        <v/>
      </c>
      <c r="U47" s="21">
        <f>IF($A47="","",ROUND((IFERROR(VALUE($S47),0)+IFERROR(VALUE($T47),0))/2,4))</f>
        <v/>
      </c>
      <c r="V47" s="21">
        <f>IF($A47="","",$C47&amp;"|"&amp;TEXT($Q47,"0.0000"))</f>
        <v/>
      </c>
      <c r="W47" s="21">
        <f>IF($A47="","",$C47&amp;"|"&amp;$A47)</f>
        <v/>
      </c>
    </row>
    <row r="48">
      <c r="A48" s="20" t="n"/>
      <c r="B48" s="20">
        <f>IF($A48="","",IFERROR(INDEX(Offerte!$B$2:$B$200,MATCH($A48,Offerte!$A$2:$A$200,0)),""))</f>
        <v/>
      </c>
      <c r="C48" s="20" t="n"/>
      <c r="D48" s="20" t="n"/>
      <c r="E48" s="20" t="n"/>
      <c r="F48" s="20" t="n"/>
      <c r="G48" s="20" t="n"/>
      <c r="H48" s="21">
        <f>IF($C48="L1+L2","L1",IF($C48="L2+L3","L2",IF($C48="L3+L4","L3",IF($C48="L1+L4","L1",""))))</f>
        <v/>
      </c>
      <c r="I48" s="21">
        <f>IF($C48="L1+L2","L2",IF($C48="L2+L3","L3",IF($C48="L3+L4","L4",IF($C48="L1+L4","L4",""))))</f>
        <v/>
      </c>
      <c r="J48" s="21">
        <f>IF($H48="","",IFERROR(INDEX(Offerte!$D$2:$D$200,MATCH($A48&amp;"|"&amp;$H48,Offerte!$L$2:$L$200,0)),0))</f>
        <v/>
      </c>
      <c r="K48" s="21">
        <f>IF($I48="","",IFERROR(INDEX(Offerte!$D$2:$D$200,MATCH($A48&amp;"|"&amp;$I48,Offerte!$L$2:$L$200,0)),0))</f>
        <v/>
      </c>
      <c r="L48" s="21">
        <f>IF($H48="","",IFERROR(INDEX(Offerte!$E$2:$E$200,MATCH($A48&amp;"|"&amp;$H48,Offerte!$L$2:$L$200,0)),0))</f>
        <v/>
      </c>
      <c r="M48" s="21">
        <f>IF($I48="","",IFERROR(INDEX(Offerte!$E$2:$E$200,MATCH($A48&amp;"|"&amp;$I48,Offerte!$L$2:$L$200,0)),0))</f>
        <v/>
      </c>
      <c r="N48" s="21">
        <f>IF($A48="","",IF(IFERROR(VALUE($D48),0)&lt;&gt;1,"NO",IF(AND(IFERROR(VALUE($J48),0)=1,IFERROR(VALUE($K48),0)=1,IFERROR(VALUE($L48),0)&gt;=Parametri!$B$2,IFERROR(VALUE($M48),0)&gt;=Parametri!$B$2,IFERROR(VALUE($F48),0)=1,IFERROR(VALUE($G48),0)=1,IFERROR(VALUE($E48),0)&gt;$U48),"SI","NO")))</f>
        <v/>
      </c>
      <c r="O48" s="21">
        <f>IF($N48="SI",IFERROR(30*(IFERROR(VALUE($E48),0)/MAX(SUMPRODUCT(MAX((Offerte!$C$2:$C$200=$H48)*(IFERROR(Offerte!$D$2:$D$200*1,0)=1)*(IFERROR(Offerte!$E$2:$E$200*1,0)&gt;=Parametri!$B$2)*IFERROR(Offerte!$F$2:$F$200*1,0))),SUMPRODUCT(MAX(($H$5:$H$80=$H48)*($N$5:$N$80="SI")*IFERROR($E$5:$E$80*1,0))),SUMPRODUCT(MAX(($I$5:$I$80=$H48)*($N$5:$N$80="SI")*IFERROR($E$5:$E$80*1,0))))),0),0)</f>
        <v/>
      </c>
      <c r="P48" s="21">
        <f>IF($N48="SI",IFERROR(30*(IFERROR(VALUE($E48),0)/MAX(SUMPRODUCT(MAX((Offerte!$C$2:$C$200=$I48)*(IFERROR(Offerte!$D$2:$D$200*1,0)=1)*(IFERROR(Offerte!$E$2:$E$200*1,0)&gt;=Parametri!$B$2)*IFERROR(Offerte!$F$2:$F$200*1,0))),SUMPRODUCT(MAX(($H$5:$H$80=$I48)*($N$5:$N$80="SI")*IFERROR($E$5:$E$80*1,0))),SUMPRODUCT(MAX(($I$5:$I$80=$I48)*($N$5:$N$80="SI")*IFERROR($E$5:$E$80*1,0))))),0),0)</f>
        <v/>
      </c>
      <c r="Q48" s="21">
        <f>IF($N48="SI",ROUND($L48+$M48+$O48+$P48,4),0)</f>
        <v/>
      </c>
      <c r="R48" s="21">
        <f>IF($A48="","",IF(IFERROR(VALUE($D48),0)&lt;&gt;1,"Non attiva",IF(OR(IFERROR(VALUE($J48),0)&lt;&gt;1,IFERROR(VALUE($K48),0)&lt;&gt;1),"Singoli non attivi",IF(OR(IFERROR(VALUE($L48),0)&lt;Parametri!$B$2,IFERROR(VALUE($M48),0)&lt;Parametri!$B$2),"Soglia non superata",IF(OR(IFERROR(VALUE($F48),0)&lt;&gt;1,IFERROR(VALUE($G48),0)&lt;&gt;1),"Buste/PEF non confermati",IF(IFERROR(VALUE($E48),0)&lt;=$U48,"Ribasso non migliorativo",""))))))</f>
        <v/>
      </c>
      <c r="S48" s="21">
        <f>IF($H48="","",IFERROR(INDEX(Offerte!$F$2:$F$200,MATCH($A48&amp;"|"&amp;$H48,Offerte!$L$2:$L$200,0)),0))</f>
        <v/>
      </c>
      <c r="T48" s="21">
        <f>IF($I48="","",IFERROR(INDEX(Offerte!$F$2:$F$200,MATCH($A48&amp;"|"&amp;$I48,Offerte!$L$2:$L$200,0)),0))</f>
        <v/>
      </c>
      <c r="U48" s="21">
        <f>IF($A48="","",ROUND((IFERROR(VALUE($S48),0)+IFERROR(VALUE($T48),0))/2,4))</f>
        <v/>
      </c>
      <c r="V48" s="21">
        <f>IF($A48="","",$C48&amp;"|"&amp;TEXT($Q48,"0.0000"))</f>
        <v/>
      </c>
      <c r="W48" s="21">
        <f>IF($A48="","",$C48&amp;"|"&amp;$A48)</f>
        <v/>
      </c>
    </row>
    <row r="49">
      <c r="A49" s="20" t="n"/>
      <c r="B49" s="20">
        <f>IF($A49="","",IFERROR(INDEX(Offerte!$B$2:$B$200,MATCH($A49,Offerte!$A$2:$A$200,0)),""))</f>
        <v/>
      </c>
      <c r="C49" s="20" t="n"/>
      <c r="D49" s="20" t="n"/>
      <c r="E49" s="20" t="n"/>
      <c r="F49" s="20" t="n"/>
      <c r="G49" s="20" t="n"/>
      <c r="H49" s="21">
        <f>IF($C49="L1+L2","L1",IF($C49="L2+L3","L2",IF($C49="L3+L4","L3",IF($C49="L1+L4","L1",""))))</f>
        <v/>
      </c>
      <c r="I49" s="21">
        <f>IF($C49="L1+L2","L2",IF($C49="L2+L3","L3",IF($C49="L3+L4","L4",IF($C49="L1+L4","L4",""))))</f>
        <v/>
      </c>
      <c r="J49" s="21">
        <f>IF($H49="","",IFERROR(INDEX(Offerte!$D$2:$D$200,MATCH($A49&amp;"|"&amp;$H49,Offerte!$L$2:$L$200,0)),0))</f>
        <v/>
      </c>
      <c r="K49" s="21">
        <f>IF($I49="","",IFERROR(INDEX(Offerte!$D$2:$D$200,MATCH($A49&amp;"|"&amp;$I49,Offerte!$L$2:$L$200,0)),0))</f>
        <v/>
      </c>
      <c r="L49" s="21">
        <f>IF($H49="","",IFERROR(INDEX(Offerte!$E$2:$E$200,MATCH($A49&amp;"|"&amp;$H49,Offerte!$L$2:$L$200,0)),0))</f>
        <v/>
      </c>
      <c r="M49" s="21">
        <f>IF($I49="","",IFERROR(INDEX(Offerte!$E$2:$E$200,MATCH($A49&amp;"|"&amp;$I49,Offerte!$L$2:$L$200,0)),0))</f>
        <v/>
      </c>
      <c r="N49" s="21">
        <f>IF($A49="","",IF(IFERROR(VALUE($D49),0)&lt;&gt;1,"NO",IF(AND(IFERROR(VALUE($J49),0)=1,IFERROR(VALUE($K49),0)=1,IFERROR(VALUE($L49),0)&gt;=Parametri!$B$2,IFERROR(VALUE($M49),0)&gt;=Parametri!$B$2,IFERROR(VALUE($F49),0)=1,IFERROR(VALUE($G49),0)=1,IFERROR(VALUE($E49),0)&gt;$U49),"SI","NO")))</f>
        <v/>
      </c>
      <c r="O49" s="21">
        <f>IF($N49="SI",IFERROR(30*(IFERROR(VALUE($E49),0)/MAX(SUMPRODUCT(MAX((Offerte!$C$2:$C$200=$H49)*(IFERROR(Offerte!$D$2:$D$200*1,0)=1)*(IFERROR(Offerte!$E$2:$E$200*1,0)&gt;=Parametri!$B$2)*IFERROR(Offerte!$F$2:$F$200*1,0))),SUMPRODUCT(MAX(($H$5:$H$80=$H49)*($N$5:$N$80="SI")*IFERROR($E$5:$E$80*1,0))),SUMPRODUCT(MAX(($I$5:$I$80=$H49)*($N$5:$N$80="SI")*IFERROR($E$5:$E$80*1,0))))),0),0)</f>
        <v/>
      </c>
      <c r="P49" s="21">
        <f>IF($N49="SI",IFERROR(30*(IFERROR(VALUE($E49),0)/MAX(SUMPRODUCT(MAX((Offerte!$C$2:$C$200=$I49)*(IFERROR(Offerte!$D$2:$D$200*1,0)=1)*(IFERROR(Offerte!$E$2:$E$200*1,0)&gt;=Parametri!$B$2)*IFERROR(Offerte!$F$2:$F$200*1,0))),SUMPRODUCT(MAX(($H$5:$H$80=$I49)*($N$5:$N$80="SI")*IFERROR($E$5:$E$80*1,0))),SUMPRODUCT(MAX(($I$5:$I$80=$I49)*($N$5:$N$80="SI")*IFERROR($E$5:$E$80*1,0))))),0),0)</f>
        <v/>
      </c>
      <c r="Q49" s="21">
        <f>IF($N49="SI",ROUND($L49+$M49+$O49+$P49,4),0)</f>
        <v/>
      </c>
      <c r="R49" s="21">
        <f>IF($A49="","",IF(IFERROR(VALUE($D49),0)&lt;&gt;1,"Non attiva",IF(OR(IFERROR(VALUE($J49),0)&lt;&gt;1,IFERROR(VALUE($K49),0)&lt;&gt;1),"Singoli non attivi",IF(OR(IFERROR(VALUE($L49),0)&lt;Parametri!$B$2,IFERROR(VALUE($M49),0)&lt;Parametri!$B$2),"Soglia non superata",IF(OR(IFERROR(VALUE($F49),0)&lt;&gt;1,IFERROR(VALUE($G49),0)&lt;&gt;1),"Buste/PEF non confermati",IF(IFERROR(VALUE($E49),0)&lt;=$U49,"Ribasso non migliorativo",""))))))</f>
        <v/>
      </c>
      <c r="S49" s="21">
        <f>IF($H49="","",IFERROR(INDEX(Offerte!$F$2:$F$200,MATCH($A49&amp;"|"&amp;$H49,Offerte!$L$2:$L$200,0)),0))</f>
        <v/>
      </c>
      <c r="T49" s="21">
        <f>IF($I49="","",IFERROR(INDEX(Offerte!$F$2:$F$200,MATCH($A49&amp;"|"&amp;$I49,Offerte!$L$2:$L$200,0)),0))</f>
        <v/>
      </c>
      <c r="U49" s="21">
        <f>IF($A49="","",ROUND((IFERROR(VALUE($S49),0)+IFERROR(VALUE($T49),0))/2,4))</f>
        <v/>
      </c>
      <c r="V49" s="21">
        <f>IF($A49="","",$C49&amp;"|"&amp;TEXT($Q49,"0.0000"))</f>
        <v/>
      </c>
      <c r="W49" s="21">
        <f>IF($A49="","",$C49&amp;"|"&amp;$A49)</f>
        <v/>
      </c>
    </row>
    <row r="50">
      <c r="A50" s="20" t="n"/>
      <c r="B50" s="20">
        <f>IF($A50="","",IFERROR(INDEX(Offerte!$B$2:$B$200,MATCH($A50,Offerte!$A$2:$A$200,0)),""))</f>
        <v/>
      </c>
      <c r="C50" s="20" t="n"/>
      <c r="D50" s="20" t="n"/>
      <c r="E50" s="20" t="n"/>
      <c r="F50" s="20" t="n"/>
      <c r="G50" s="20" t="n"/>
      <c r="H50" s="21">
        <f>IF($C50="L1+L2","L1",IF($C50="L2+L3","L2",IF($C50="L3+L4","L3",IF($C50="L1+L4","L1",""))))</f>
        <v/>
      </c>
      <c r="I50" s="21">
        <f>IF($C50="L1+L2","L2",IF($C50="L2+L3","L3",IF($C50="L3+L4","L4",IF($C50="L1+L4","L4",""))))</f>
        <v/>
      </c>
      <c r="J50" s="21">
        <f>IF($H50="","",IFERROR(INDEX(Offerte!$D$2:$D$200,MATCH($A50&amp;"|"&amp;$H50,Offerte!$L$2:$L$200,0)),0))</f>
        <v/>
      </c>
      <c r="K50" s="21">
        <f>IF($I50="","",IFERROR(INDEX(Offerte!$D$2:$D$200,MATCH($A50&amp;"|"&amp;$I50,Offerte!$L$2:$L$200,0)),0))</f>
        <v/>
      </c>
      <c r="L50" s="21">
        <f>IF($H50="","",IFERROR(INDEX(Offerte!$E$2:$E$200,MATCH($A50&amp;"|"&amp;$H50,Offerte!$L$2:$L$200,0)),0))</f>
        <v/>
      </c>
      <c r="M50" s="21">
        <f>IF($I50="","",IFERROR(INDEX(Offerte!$E$2:$E$200,MATCH($A50&amp;"|"&amp;$I50,Offerte!$L$2:$L$200,0)),0))</f>
        <v/>
      </c>
      <c r="N50" s="21">
        <f>IF($A50="","",IF(IFERROR(VALUE($D50),0)&lt;&gt;1,"NO",IF(AND(IFERROR(VALUE($J50),0)=1,IFERROR(VALUE($K50),0)=1,IFERROR(VALUE($L50),0)&gt;=Parametri!$B$2,IFERROR(VALUE($M50),0)&gt;=Parametri!$B$2,IFERROR(VALUE($F50),0)=1,IFERROR(VALUE($G50),0)=1,IFERROR(VALUE($E50),0)&gt;$U50),"SI","NO")))</f>
        <v/>
      </c>
      <c r="O50" s="21">
        <f>IF($N50="SI",IFERROR(30*(IFERROR(VALUE($E50),0)/MAX(SUMPRODUCT(MAX((Offerte!$C$2:$C$200=$H50)*(IFERROR(Offerte!$D$2:$D$200*1,0)=1)*(IFERROR(Offerte!$E$2:$E$200*1,0)&gt;=Parametri!$B$2)*IFERROR(Offerte!$F$2:$F$200*1,0))),SUMPRODUCT(MAX(($H$5:$H$80=$H50)*($N$5:$N$80="SI")*IFERROR($E$5:$E$80*1,0))),SUMPRODUCT(MAX(($I$5:$I$80=$H50)*($N$5:$N$80="SI")*IFERROR($E$5:$E$80*1,0))))),0),0)</f>
        <v/>
      </c>
      <c r="P50" s="21">
        <f>IF($N50="SI",IFERROR(30*(IFERROR(VALUE($E50),0)/MAX(SUMPRODUCT(MAX((Offerte!$C$2:$C$200=$I50)*(IFERROR(Offerte!$D$2:$D$200*1,0)=1)*(IFERROR(Offerte!$E$2:$E$200*1,0)&gt;=Parametri!$B$2)*IFERROR(Offerte!$F$2:$F$200*1,0))),SUMPRODUCT(MAX(($H$5:$H$80=$I50)*($N$5:$N$80="SI")*IFERROR($E$5:$E$80*1,0))),SUMPRODUCT(MAX(($I$5:$I$80=$I50)*($N$5:$N$80="SI")*IFERROR($E$5:$E$80*1,0))))),0),0)</f>
        <v/>
      </c>
      <c r="Q50" s="21">
        <f>IF($N50="SI",ROUND($L50+$M50+$O50+$P50,4),0)</f>
        <v/>
      </c>
      <c r="R50" s="21">
        <f>IF($A50="","",IF(IFERROR(VALUE($D50),0)&lt;&gt;1,"Non attiva",IF(OR(IFERROR(VALUE($J50),0)&lt;&gt;1,IFERROR(VALUE($K50),0)&lt;&gt;1),"Singoli non attivi",IF(OR(IFERROR(VALUE($L50),0)&lt;Parametri!$B$2,IFERROR(VALUE($M50),0)&lt;Parametri!$B$2),"Soglia non superata",IF(OR(IFERROR(VALUE($F50),0)&lt;&gt;1,IFERROR(VALUE($G50),0)&lt;&gt;1),"Buste/PEF non confermati",IF(IFERROR(VALUE($E50),0)&lt;=$U50,"Ribasso non migliorativo",""))))))</f>
        <v/>
      </c>
      <c r="S50" s="21">
        <f>IF($H50="","",IFERROR(INDEX(Offerte!$F$2:$F$200,MATCH($A50&amp;"|"&amp;$H50,Offerte!$L$2:$L$200,0)),0))</f>
        <v/>
      </c>
      <c r="T50" s="21">
        <f>IF($I50="","",IFERROR(INDEX(Offerte!$F$2:$F$200,MATCH($A50&amp;"|"&amp;$I50,Offerte!$L$2:$L$200,0)),0))</f>
        <v/>
      </c>
      <c r="U50" s="21">
        <f>IF($A50="","",ROUND((IFERROR(VALUE($S50),0)+IFERROR(VALUE($T50),0))/2,4))</f>
        <v/>
      </c>
      <c r="V50" s="21">
        <f>IF($A50="","",$C50&amp;"|"&amp;TEXT($Q50,"0.0000"))</f>
        <v/>
      </c>
      <c r="W50" s="21">
        <f>IF($A50="","",$C50&amp;"|"&amp;$A50)</f>
        <v/>
      </c>
    </row>
    <row r="51">
      <c r="A51" s="20" t="n"/>
      <c r="B51" s="20">
        <f>IF($A51="","",IFERROR(INDEX(Offerte!$B$2:$B$200,MATCH($A51,Offerte!$A$2:$A$200,0)),""))</f>
        <v/>
      </c>
      <c r="C51" s="20" t="n"/>
      <c r="D51" s="20" t="n"/>
      <c r="E51" s="20" t="n"/>
      <c r="F51" s="20" t="n"/>
      <c r="G51" s="20" t="n"/>
      <c r="H51" s="21">
        <f>IF($C51="L1+L2","L1",IF($C51="L2+L3","L2",IF($C51="L3+L4","L3",IF($C51="L1+L4","L1",""))))</f>
        <v/>
      </c>
      <c r="I51" s="21">
        <f>IF($C51="L1+L2","L2",IF($C51="L2+L3","L3",IF($C51="L3+L4","L4",IF($C51="L1+L4","L4",""))))</f>
        <v/>
      </c>
      <c r="J51" s="21">
        <f>IF($H51="","",IFERROR(INDEX(Offerte!$D$2:$D$200,MATCH($A51&amp;"|"&amp;$H51,Offerte!$L$2:$L$200,0)),0))</f>
        <v/>
      </c>
      <c r="K51" s="21">
        <f>IF($I51="","",IFERROR(INDEX(Offerte!$D$2:$D$200,MATCH($A51&amp;"|"&amp;$I51,Offerte!$L$2:$L$200,0)),0))</f>
        <v/>
      </c>
      <c r="L51" s="21">
        <f>IF($H51="","",IFERROR(INDEX(Offerte!$E$2:$E$200,MATCH($A51&amp;"|"&amp;$H51,Offerte!$L$2:$L$200,0)),0))</f>
        <v/>
      </c>
      <c r="M51" s="21">
        <f>IF($I51="","",IFERROR(INDEX(Offerte!$E$2:$E$200,MATCH($A51&amp;"|"&amp;$I51,Offerte!$L$2:$L$200,0)),0))</f>
        <v/>
      </c>
      <c r="N51" s="21">
        <f>IF($A51="","",IF(IFERROR(VALUE($D51),0)&lt;&gt;1,"NO",IF(AND(IFERROR(VALUE($J51),0)=1,IFERROR(VALUE($K51),0)=1,IFERROR(VALUE($L51),0)&gt;=Parametri!$B$2,IFERROR(VALUE($M51),0)&gt;=Parametri!$B$2,IFERROR(VALUE($F51),0)=1,IFERROR(VALUE($G51),0)=1,IFERROR(VALUE($E51),0)&gt;$U51),"SI","NO")))</f>
        <v/>
      </c>
      <c r="O51" s="21">
        <f>IF($N51="SI",IFERROR(30*(IFERROR(VALUE($E51),0)/MAX(SUMPRODUCT(MAX((Offerte!$C$2:$C$200=$H51)*(IFERROR(Offerte!$D$2:$D$200*1,0)=1)*(IFERROR(Offerte!$E$2:$E$200*1,0)&gt;=Parametri!$B$2)*IFERROR(Offerte!$F$2:$F$200*1,0))),SUMPRODUCT(MAX(($H$5:$H$80=$H51)*($N$5:$N$80="SI")*IFERROR($E$5:$E$80*1,0))),SUMPRODUCT(MAX(($I$5:$I$80=$H51)*($N$5:$N$80="SI")*IFERROR($E$5:$E$80*1,0))))),0),0)</f>
        <v/>
      </c>
      <c r="P51" s="21">
        <f>IF($N51="SI",IFERROR(30*(IFERROR(VALUE($E51),0)/MAX(SUMPRODUCT(MAX((Offerte!$C$2:$C$200=$I51)*(IFERROR(Offerte!$D$2:$D$200*1,0)=1)*(IFERROR(Offerte!$E$2:$E$200*1,0)&gt;=Parametri!$B$2)*IFERROR(Offerte!$F$2:$F$200*1,0))),SUMPRODUCT(MAX(($H$5:$H$80=$I51)*($N$5:$N$80="SI")*IFERROR($E$5:$E$80*1,0))),SUMPRODUCT(MAX(($I$5:$I$80=$I51)*($N$5:$N$80="SI")*IFERROR($E$5:$E$80*1,0))))),0),0)</f>
        <v/>
      </c>
      <c r="Q51" s="21">
        <f>IF($N51="SI",ROUND($L51+$M51+$O51+$P51,4),0)</f>
        <v/>
      </c>
      <c r="R51" s="21">
        <f>IF($A51="","",IF(IFERROR(VALUE($D51),0)&lt;&gt;1,"Non attiva",IF(OR(IFERROR(VALUE($J51),0)&lt;&gt;1,IFERROR(VALUE($K51),0)&lt;&gt;1),"Singoli non attivi",IF(OR(IFERROR(VALUE($L51),0)&lt;Parametri!$B$2,IFERROR(VALUE($M51),0)&lt;Parametri!$B$2),"Soglia non superata",IF(OR(IFERROR(VALUE($F51),0)&lt;&gt;1,IFERROR(VALUE($G51),0)&lt;&gt;1),"Buste/PEF non confermati",IF(IFERROR(VALUE($E51),0)&lt;=$U51,"Ribasso non migliorativo",""))))))</f>
        <v/>
      </c>
      <c r="S51" s="21">
        <f>IF($H51="","",IFERROR(INDEX(Offerte!$F$2:$F$200,MATCH($A51&amp;"|"&amp;$H51,Offerte!$L$2:$L$200,0)),0))</f>
        <v/>
      </c>
      <c r="T51" s="21">
        <f>IF($I51="","",IFERROR(INDEX(Offerte!$F$2:$F$200,MATCH($A51&amp;"|"&amp;$I51,Offerte!$L$2:$L$200,0)),0))</f>
        <v/>
      </c>
      <c r="U51" s="21">
        <f>IF($A51="","",ROUND((IFERROR(VALUE($S51),0)+IFERROR(VALUE($T51),0))/2,4))</f>
        <v/>
      </c>
      <c r="V51" s="21">
        <f>IF($A51="","",$C51&amp;"|"&amp;TEXT($Q51,"0.0000"))</f>
        <v/>
      </c>
      <c r="W51" s="21">
        <f>IF($A51="","",$C51&amp;"|"&amp;$A51)</f>
        <v/>
      </c>
    </row>
    <row r="52">
      <c r="A52" s="20" t="n"/>
      <c r="B52" s="20">
        <f>IF($A52="","",IFERROR(INDEX(Offerte!$B$2:$B$200,MATCH($A52,Offerte!$A$2:$A$200,0)),""))</f>
        <v/>
      </c>
      <c r="C52" s="20" t="n"/>
      <c r="D52" s="20" t="n"/>
      <c r="E52" s="20" t="n"/>
      <c r="F52" s="20" t="n"/>
      <c r="G52" s="20" t="n"/>
      <c r="H52" s="21">
        <f>IF($C52="L1+L2","L1",IF($C52="L2+L3","L2",IF($C52="L3+L4","L3",IF($C52="L1+L4","L1",""))))</f>
        <v/>
      </c>
      <c r="I52" s="21">
        <f>IF($C52="L1+L2","L2",IF($C52="L2+L3","L3",IF($C52="L3+L4","L4",IF($C52="L1+L4","L4",""))))</f>
        <v/>
      </c>
      <c r="J52" s="21">
        <f>IF($H52="","",IFERROR(INDEX(Offerte!$D$2:$D$200,MATCH($A52&amp;"|"&amp;$H52,Offerte!$L$2:$L$200,0)),0))</f>
        <v/>
      </c>
      <c r="K52" s="21">
        <f>IF($I52="","",IFERROR(INDEX(Offerte!$D$2:$D$200,MATCH($A52&amp;"|"&amp;$I52,Offerte!$L$2:$L$200,0)),0))</f>
        <v/>
      </c>
      <c r="L52" s="21">
        <f>IF($H52="","",IFERROR(INDEX(Offerte!$E$2:$E$200,MATCH($A52&amp;"|"&amp;$H52,Offerte!$L$2:$L$200,0)),0))</f>
        <v/>
      </c>
      <c r="M52" s="21">
        <f>IF($I52="","",IFERROR(INDEX(Offerte!$E$2:$E$200,MATCH($A52&amp;"|"&amp;$I52,Offerte!$L$2:$L$200,0)),0))</f>
        <v/>
      </c>
      <c r="N52" s="21">
        <f>IF($A52="","",IF(IFERROR(VALUE($D52),0)&lt;&gt;1,"NO",IF(AND(IFERROR(VALUE($J52),0)=1,IFERROR(VALUE($K52),0)=1,IFERROR(VALUE($L52),0)&gt;=Parametri!$B$2,IFERROR(VALUE($M52),0)&gt;=Parametri!$B$2,IFERROR(VALUE($F52),0)=1,IFERROR(VALUE($G52),0)=1,IFERROR(VALUE($E52),0)&gt;$U52),"SI","NO")))</f>
        <v/>
      </c>
      <c r="O52" s="21">
        <f>IF($N52="SI",IFERROR(30*(IFERROR(VALUE($E52),0)/MAX(SUMPRODUCT(MAX((Offerte!$C$2:$C$200=$H52)*(IFERROR(Offerte!$D$2:$D$200*1,0)=1)*(IFERROR(Offerte!$E$2:$E$200*1,0)&gt;=Parametri!$B$2)*IFERROR(Offerte!$F$2:$F$200*1,0))),SUMPRODUCT(MAX(($H$5:$H$80=$H52)*($N$5:$N$80="SI")*IFERROR($E$5:$E$80*1,0))),SUMPRODUCT(MAX(($I$5:$I$80=$H52)*($N$5:$N$80="SI")*IFERROR($E$5:$E$80*1,0))))),0),0)</f>
        <v/>
      </c>
      <c r="P52" s="21">
        <f>IF($N52="SI",IFERROR(30*(IFERROR(VALUE($E52),0)/MAX(SUMPRODUCT(MAX((Offerte!$C$2:$C$200=$I52)*(IFERROR(Offerte!$D$2:$D$200*1,0)=1)*(IFERROR(Offerte!$E$2:$E$200*1,0)&gt;=Parametri!$B$2)*IFERROR(Offerte!$F$2:$F$200*1,0))),SUMPRODUCT(MAX(($H$5:$H$80=$I52)*($N$5:$N$80="SI")*IFERROR($E$5:$E$80*1,0))),SUMPRODUCT(MAX(($I$5:$I$80=$I52)*($N$5:$N$80="SI")*IFERROR($E$5:$E$80*1,0))))),0),0)</f>
        <v/>
      </c>
      <c r="Q52" s="21">
        <f>IF($N52="SI",ROUND($L52+$M52+$O52+$P52,4),0)</f>
        <v/>
      </c>
      <c r="R52" s="21">
        <f>IF($A52="","",IF(IFERROR(VALUE($D52),0)&lt;&gt;1,"Non attiva",IF(OR(IFERROR(VALUE($J52),0)&lt;&gt;1,IFERROR(VALUE($K52),0)&lt;&gt;1),"Singoli non attivi",IF(OR(IFERROR(VALUE($L52),0)&lt;Parametri!$B$2,IFERROR(VALUE($M52),0)&lt;Parametri!$B$2),"Soglia non superata",IF(OR(IFERROR(VALUE($F52),0)&lt;&gt;1,IFERROR(VALUE($G52),0)&lt;&gt;1),"Buste/PEF non confermati",IF(IFERROR(VALUE($E52),0)&lt;=$U52,"Ribasso non migliorativo",""))))))</f>
        <v/>
      </c>
      <c r="S52" s="21">
        <f>IF($H52="","",IFERROR(INDEX(Offerte!$F$2:$F$200,MATCH($A52&amp;"|"&amp;$H52,Offerte!$L$2:$L$200,0)),0))</f>
        <v/>
      </c>
      <c r="T52" s="21">
        <f>IF($I52="","",IFERROR(INDEX(Offerte!$F$2:$F$200,MATCH($A52&amp;"|"&amp;$I52,Offerte!$L$2:$L$200,0)),0))</f>
        <v/>
      </c>
      <c r="U52" s="21">
        <f>IF($A52="","",ROUND((IFERROR(VALUE($S52),0)+IFERROR(VALUE($T52),0))/2,4))</f>
        <v/>
      </c>
      <c r="V52" s="21">
        <f>IF($A52="","",$C52&amp;"|"&amp;TEXT($Q52,"0.0000"))</f>
        <v/>
      </c>
      <c r="W52" s="21">
        <f>IF($A52="","",$C52&amp;"|"&amp;$A52)</f>
        <v/>
      </c>
    </row>
    <row r="53">
      <c r="A53" s="20" t="n"/>
      <c r="B53" s="20">
        <f>IF($A53="","",IFERROR(INDEX(Offerte!$B$2:$B$200,MATCH($A53,Offerte!$A$2:$A$200,0)),""))</f>
        <v/>
      </c>
      <c r="C53" s="20" t="n"/>
      <c r="D53" s="20" t="n"/>
      <c r="E53" s="20" t="n"/>
      <c r="F53" s="20" t="n"/>
      <c r="G53" s="20" t="n"/>
      <c r="H53" s="21">
        <f>IF($C53="L1+L2","L1",IF($C53="L2+L3","L2",IF($C53="L3+L4","L3",IF($C53="L1+L4","L1",""))))</f>
        <v/>
      </c>
      <c r="I53" s="21">
        <f>IF($C53="L1+L2","L2",IF($C53="L2+L3","L3",IF($C53="L3+L4","L4",IF($C53="L1+L4","L4",""))))</f>
        <v/>
      </c>
      <c r="J53" s="21">
        <f>IF($H53="","",IFERROR(INDEX(Offerte!$D$2:$D$200,MATCH($A53&amp;"|"&amp;$H53,Offerte!$L$2:$L$200,0)),0))</f>
        <v/>
      </c>
      <c r="K53" s="21">
        <f>IF($I53="","",IFERROR(INDEX(Offerte!$D$2:$D$200,MATCH($A53&amp;"|"&amp;$I53,Offerte!$L$2:$L$200,0)),0))</f>
        <v/>
      </c>
      <c r="L53" s="21">
        <f>IF($H53="","",IFERROR(INDEX(Offerte!$E$2:$E$200,MATCH($A53&amp;"|"&amp;$H53,Offerte!$L$2:$L$200,0)),0))</f>
        <v/>
      </c>
      <c r="M53" s="21">
        <f>IF($I53="","",IFERROR(INDEX(Offerte!$E$2:$E$200,MATCH($A53&amp;"|"&amp;$I53,Offerte!$L$2:$L$200,0)),0))</f>
        <v/>
      </c>
      <c r="N53" s="21">
        <f>IF($A53="","",IF(IFERROR(VALUE($D53),0)&lt;&gt;1,"NO",IF(AND(IFERROR(VALUE($J53),0)=1,IFERROR(VALUE($K53),0)=1,IFERROR(VALUE($L53),0)&gt;=Parametri!$B$2,IFERROR(VALUE($M53),0)&gt;=Parametri!$B$2,IFERROR(VALUE($F53),0)=1,IFERROR(VALUE($G53),0)=1,IFERROR(VALUE($E53),0)&gt;$U53),"SI","NO")))</f>
        <v/>
      </c>
      <c r="O53" s="21">
        <f>IF($N53="SI",IFERROR(30*(IFERROR(VALUE($E53),0)/MAX(SUMPRODUCT(MAX((Offerte!$C$2:$C$200=$H53)*(IFERROR(Offerte!$D$2:$D$200*1,0)=1)*(IFERROR(Offerte!$E$2:$E$200*1,0)&gt;=Parametri!$B$2)*IFERROR(Offerte!$F$2:$F$200*1,0))),SUMPRODUCT(MAX(($H$5:$H$80=$H53)*($N$5:$N$80="SI")*IFERROR($E$5:$E$80*1,0))),SUMPRODUCT(MAX(($I$5:$I$80=$H53)*($N$5:$N$80="SI")*IFERROR($E$5:$E$80*1,0))))),0),0)</f>
        <v/>
      </c>
      <c r="P53" s="21">
        <f>IF($N53="SI",IFERROR(30*(IFERROR(VALUE($E53),0)/MAX(SUMPRODUCT(MAX((Offerte!$C$2:$C$200=$I53)*(IFERROR(Offerte!$D$2:$D$200*1,0)=1)*(IFERROR(Offerte!$E$2:$E$200*1,0)&gt;=Parametri!$B$2)*IFERROR(Offerte!$F$2:$F$200*1,0))),SUMPRODUCT(MAX(($H$5:$H$80=$I53)*($N$5:$N$80="SI")*IFERROR($E$5:$E$80*1,0))),SUMPRODUCT(MAX(($I$5:$I$80=$I53)*($N$5:$N$80="SI")*IFERROR($E$5:$E$80*1,0))))),0),0)</f>
        <v/>
      </c>
      <c r="Q53" s="21">
        <f>IF($N53="SI",ROUND($L53+$M53+$O53+$P53,4),0)</f>
        <v/>
      </c>
      <c r="R53" s="21">
        <f>IF($A53="","",IF(IFERROR(VALUE($D53),0)&lt;&gt;1,"Non attiva",IF(OR(IFERROR(VALUE($J53),0)&lt;&gt;1,IFERROR(VALUE($K53),0)&lt;&gt;1),"Singoli non attivi",IF(OR(IFERROR(VALUE($L53),0)&lt;Parametri!$B$2,IFERROR(VALUE($M53),0)&lt;Parametri!$B$2),"Soglia non superata",IF(OR(IFERROR(VALUE($F53),0)&lt;&gt;1,IFERROR(VALUE($G53),0)&lt;&gt;1),"Buste/PEF non confermati",IF(IFERROR(VALUE($E53),0)&lt;=$U53,"Ribasso non migliorativo",""))))))</f>
        <v/>
      </c>
      <c r="S53" s="21">
        <f>IF($H53="","",IFERROR(INDEX(Offerte!$F$2:$F$200,MATCH($A53&amp;"|"&amp;$H53,Offerte!$L$2:$L$200,0)),0))</f>
        <v/>
      </c>
      <c r="T53" s="21">
        <f>IF($I53="","",IFERROR(INDEX(Offerte!$F$2:$F$200,MATCH($A53&amp;"|"&amp;$I53,Offerte!$L$2:$L$200,0)),0))</f>
        <v/>
      </c>
      <c r="U53" s="21">
        <f>IF($A53="","",ROUND((IFERROR(VALUE($S53),0)+IFERROR(VALUE($T53),0))/2,4))</f>
        <v/>
      </c>
      <c r="V53" s="21">
        <f>IF($A53="","",$C53&amp;"|"&amp;TEXT($Q53,"0.0000"))</f>
        <v/>
      </c>
      <c r="W53" s="21">
        <f>IF($A53="","",$C53&amp;"|"&amp;$A53)</f>
        <v/>
      </c>
    </row>
    <row r="54">
      <c r="A54" s="20" t="n"/>
      <c r="B54" s="20">
        <f>IF($A54="","",IFERROR(INDEX(Offerte!$B$2:$B$200,MATCH($A54,Offerte!$A$2:$A$200,0)),""))</f>
        <v/>
      </c>
      <c r="C54" s="20" t="n"/>
      <c r="D54" s="20" t="n"/>
      <c r="E54" s="20" t="n"/>
      <c r="F54" s="20" t="n"/>
      <c r="G54" s="20" t="n"/>
      <c r="H54" s="21">
        <f>IF($C54="L1+L2","L1",IF($C54="L2+L3","L2",IF($C54="L3+L4","L3",IF($C54="L1+L4","L1",""))))</f>
        <v/>
      </c>
      <c r="I54" s="21">
        <f>IF($C54="L1+L2","L2",IF($C54="L2+L3","L3",IF($C54="L3+L4","L4",IF($C54="L1+L4","L4",""))))</f>
        <v/>
      </c>
      <c r="J54" s="21">
        <f>IF($H54="","",IFERROR(INDEX(Offerte!$D$2:$D$200,MATCH($A54&amp;"|"&amp;$H54,Offerte!$L$2:$L$200,0)),0))</f>
        <v/>
      </c>
      <c r="K54" s="21">
        <f>IF($I54="","",IFERROR(INDEX(Offerte!$D$2:$D$200,MATCH($A54&amp;"|"&amp;$I54,Offerte!$L$2:$L$200,0)),0))</f>
        <v/>
      </c>
      <c r="L54" s="21">
        <f>IF($H54="","",IFERROR(INDEX(Offerte!$E$2:$E$200,MATCH($A54&amp;"|"&amp;$H54,Offerte!$L$2:$L$200,0)),0))</f>
        <v/>
      </c>
      <c r="M54" s="21">
        <f>IF($I54="","",IFERROR(INDEX(Offerte!$E$2:$E$200,MATCH($A54&amp;"|"&amp;$I54,Offerte!$L$2:$L$200,0)),0))</f>
        <v/>
      </c>
      <c r="N54" s="21">
        <f>IF($A54="","",IF(IFERROR(VALUE($D54),0)&lt;&gt;1,"NO",IF(AND(IFERROR(VALUE($J54),0)=1,IFERROR(VALUE($K54),0)=1,IFERROR(VALUE($L54),0)&gt;=Parametri!$B$2,IFERROR(VALUE($M54),0)&gt;=Parametri!$B$2,IFERROR(VALUE($F54),0)=1,IFERROR(VALUE($G54),0)=1,IFERROR(VALUE($E54),0)&gt;$U54),"SI","NO")))</f>
        <v/>
      </c>
      <c r="O54" s="21">
        <f>IF($N54="SI",IFERROR(30*(IFERROR(VALUE($E54),0)/MAX(SUMPRODUCT(MAX((Offerte!$C$2:$C$200=$H54)*(IFERROR(Offerte!$D$2:$D$200*1,0)=1)*(IFERROR(Offerte!$E$2:$E$200*1,0)&gt;=Parametri!$B$2)*IFERROR(Offerte!$F$2:$F$200*1,0))),SUMPRODUCT(MAX(($H$5:$H$80=$H54)*($N$5:$N$80="SI")*IFERROR($E$5:$E$80*1,0))),SUMPRODUCT(MAX(($I$5:$I$80=$H54)*($N$5:$N$80="SI")*IFERROR($E$5:$E$80*1,0))))),0),0)</f>
        <v/>
      </c>
      <c r="P54" s="21">
        <f>IF($N54="SI",IFERROR(30*(IFERROR(VALUE($E54),0)/MAX(SUMPRODUCT(MAX((Offerte!$C$2:$C$200=$I54)*(IFERROR(Offerte!$D$2:$D$200*1,0)=1)*(IFERROR(Offerte!$E$2:$E$200*1,0)&gt;=Parametri!$B$2)*IFERROR(Offerte!$F$2:$F$200*1,0))),SUMPRODUCT(MAX(($H$5:$H$80=$I54)*($N$5:$N$80="SI")*IFERROR($E$5:$E$80*1,0))),SUMPRODUCT(MAX(($I$5:$I$80=$I54)*($N$5:$N$80="SI")*IFERROR($E$5:$E$80*1,0))))),0),0)</f>
        <v/>
      </c>
      <c r="Q54" s="21">
        <f>IF($N54="SI",ROUND($L54+$M54+$O54+$P54,4),0)</f>
        <v/>
      </c>
      <c r="R54" s="21">
        <f>IF($A54="","",IF(IFERROR(VALUE($D54),0)&lt;&gt;1,"Non attiva",IF(OR(IFERROR(VALUE($J54),0)&lt;&gt;1,IFERROR(VALUE($K54),0)&lt;&gt;1),"Singoli non attivi",IF(OR(IFERROR(VALUE($L54),0)&lt;Parametri!$B$2,IFERROR(VALUE($M54),0)&lt;Parametri!$B$2),"Soglia non superata",IF(OR(IFERROR(VALUE($F54),0)&lt;&gt;1,IFERROR(VALUE($G54),0)&lt;&gt;1),"Buste/PEF non confermati",IF(IFERROR(VALUE($E54),0)&lt;=$U54,"Ribasso non migliorativo",""))))))</f>
        <v/>
      </c>
      <c r="S54" s="21">
        <f>IF($H54="","",IFERROR(INDEX(Offerte!$F$2:$F$200,MATCH($A54&amp;"|"&amp;$H54,Offerte!$L$2:$L$200,0)),0))</f>
        <v/>
      </c>
      <c r="T54" s="21">
        <f>IF($I54="","",IFERROR(INDEX(Offerte!$F$2:$F$200,MATCH($A54&amp;"|"&amp;$I54,Offerte!$L$2:$L$200,0)),0))</f>
        <v/>
      </c>
      <c r="U54" s="21">
        <f>IF($A54="","",ROUND((IFERROR(VALUE($S54),0)+IFERROR(VALUE($T54),0))/2,4))</f>
        <v/>
      </c>
      <c r="V54" s="21">
        <f>IF($A54="","",$C54&amp;"|"&amp;TEXT($Q54,"0.0000"))</f>
        <v/>
      </c>
      <c r="W54" s="21">
        <f>IF($A54="","",$C54&amp;"|"&amp;$A54)</f>
        <v/>
      </c>
    </row>
    <row r="55">
      <c r="A55" s="20" t="n"/>
      <c r="B55" s="20">
        <f>IF($A55="","",IFERROR(INDEX(Offerte!$B$2:$B$200,MATCH($A55,Offerte!$A$2:$A$200,0)),""))</f>
        <v/>
      </c>
      <c r="C55" s="20" t="n"/>
      <c r="D55" s="20" t="n"/>
      <c r="E55" s="20" t="n"/>
      <c r="F55" s="20" t="n"/>
      <c r="G55" s="20" t="n"/>
      <c r="H55" s="21">
        <f>IF($C55="L1+L2","L1",IF($C55="L2+L3","L2",IF($C55="L3+L4","L3",IF($C55="L1+L4","L1",""))))</f>
        <v/>
      </c>
      <c r="I55" s="21">
        <f>IF($C55="L1+L2","L2",IF($C55="L2+L3","L3",IF($C55="L3+L4","L4",IF($C55="L1+L4","L4",""))))</f>
        <v/>
      </c>
      <c r="J55" s="21">
        <f>IF($H55="","",IFERROR(INDEX(Offerte!$D$2:$D$200,MATCH($A55&amp;"|"&amp;$H55,Offerte!$L$2:$L$200,0)),0))</f>
        <v/>
      </c>
      <c r="K55" s="21">
        <f>IF($I55="","",IFERROR(INDEX(Offerte!$D$2:$D$200,MATCH($A55&amp;"|"&amp;$I55,Offerte!$L$2:$L$200,0)),0))</f>
        <v/>
      </c>
      <c r="L55" s="21">
        <f>IF($H55="","",IFERROR(INDEX(Offerte!$E$2:$E$200,MATCH($A55&amp;"|"&amp;$H55,Offerte!$L$2:$L$200,0)),0))</f>
        <v/>
      </c>
      <c r="M55" s="21">
        <f>IF($I55="","",IFERROR(INDEX(Offerte!$E$2:$E$200,MATCH($A55&amp;"|"&amp;$I55,Offerte!$L$2:$L$200,0)),0))</f>
        <v/>
      </c>
      <c r="N55" s="21">
        <f>IF($A55="","",IF(IFERROR(VALUE($D55),0)&lt;&gt;1,"NO",IF(AND(IFERROR(VALUE($J55),0)=1,IFERROR(VALUE($K55),0)=1,IFERROR(VALUE($L55),0)&gt;=Parametri!$B$2,IFERROR(VALUE($M55),0)&gt;=Parametri!$B$2,IFERROR(VALUE($F55),0)=1,IFERROR(VALUE($G55),0)=1,IFERROR(VALUE($E55),0)&gt;$U55),"SI","NO")))</f>
        <v/>
      </c>
      <c r="O55" s="21">
        <f>IF($N55="SI",IFERROR(30*(IFERROR(VALUE($E55),0)/MAX(SUMPRODUCT(MAX((Offerte!$C$2:$C$200=$H55)*(IFERROR(Offerte!$D$2:$D$200*1,0)=1)*(IFERROR(Offerte!$E$2:$E$200*1,0)&gt;=Parametri!$B$2)*IFERROR(Offerte!$F$2:$F$200*1,0))),SUMPRODUCT(MAX(($H$5:$H$80=$H55)*($N$5:$N$80="SI")*IFERROR($E$5:$E$80*1,0))),SUMPRODUCT(MAX(($I$5:$I$80=$H55)*($N$5:$N$80="SI")*IFERROR($E$5:$E$80*1,0))))),0),0)</f>
        <v/>
      </c>
      <c r="P55" s="21">
        <f>IF($N55="SI",IFERROR(30*(IFERROR(VALUE($E55),0)/MAX(SUMPRODUCT(MAX((Offerte!$C$2:$C$200=$I55)*(IFERROR(Offerte!$D$2:$D$200*1,0)=1)*(IFERROR(Offerte!$E$2:$E$200*1,0)&gt;=Parametri!$B$2)*IFERROR(Offerte!$F$2:$F$200*1,0))),SUMPRODUCT(MAX(($H$5:$H$80=$I55)*($N$5:$N$80="SI")*IFERROR($E$5:$E$80*1,0))),SUMPRODUCT(MAX(($I$5:$I$80=$I55)*($N$5:$N$80="SI")*IFERROR($E$5:$E$80*1,0))))),0),0)</f>
        <v/>
      </c>
      <c r="Q55" s="21">
        <f>IF($N55="SI",ROUND($L55+$M55+$O55+$P55,4),0)</f>
        <v/>
      </c>
      <c r="R55" s="21">
        <f>IF($A55="","",IF(IFERROR(VALUE($D55),0)&lt;&gt;1,"Non attiva",IF(OR(IFERROR(VALUE($J55),0)&lt;&gt;1,IFERROR(VALUE($K55),0)&lt;&gt;1),"Singoli non attivi",IF(OR(IFERROR(VALUE($L55),0)&lt;Parametri!$B$2,IFERROR(VALUE($M55),0)&lt;Parametri!$B$2),"Soglia non superata",IF(OR(IFERROR(VALUE($F55),0)&lt;&gt;1,IFERROR(VALUE($G55),0)&lt;&gt;1),"Buste/PEF non confermati",IF(IFERROR(VALUE($E55),0)&lt;=$U55,"Ribasso non migliorativo",""))))))</f>
        <v/>
      </c>
      <c r="S55" s="21">
        <f>IF($H55="","",IFERROR(INDEX(Offerte!$F$2:$F$200,MATCH($A55&amp;"|"&amp;$H55,Offerte!$L$2:$L$200,0)),0))</f>
        <v/>
      </c>
      <c r="T55" s="21">
        <f>IF($I55="","",IFERROR(INDEX(Offerte!$F$2:$F$200,MATCH($A55&amp;"|"&amp;$I55,Offerte!$L$2:$L$200,0)),0))</f>
        <v/>
      </c>
      <c r="U55" s="21">
        <f>IF($A55="","",ROUND((IFERROR(VALUE($S55),0)+IFERROR(VALUE($T55),0))/2,4))</f>
        <v/>
      </c>
      <c r="V55" s="21">
        <f>IF($A55="","",$C55&amp;"|"&amp;TEXT($Q55,"0.0000"))</f>
        <v/>
      </c>
      <c r="W55" s="21">
        <f>IF($A55="","",$C55&amp;"|"&amp;$A55)</f>
        <v/>
      </c>
    </row>
    <row r="56">
      <c r="A56" s="20" t="n"/>
      <c r="B56" s="20">
        <f>IF($A56="","",IFERROR(INDEX(Offerte!$B$2:$B$200,MATCH($A56,Offerte!$A$2:$A$200,0)),""))</f>
        <v/>
      </c>
      <c r="C56" s="20" t="n"/>
      <c r="D56" s="20" t="n"/>
      <c r="E56" s="20" t="n"/>
      <c r="F56" s="20" t="n"/>
      <c r="G56" s="20" t="n"/>
      <c r="H56" s="21">
        <f>IF($C56="L1+L2","L1",IF($C56="L2+L3","L2",IF($C56="L3+L4","L3",IF($C56="L1+L4","L1",""))))</f>
        <v/>
      </c>
      <c r="I56" s="21">
        <f>IF($C56="L1+L2","L2",IF($C56="L2+L3","L3",IF($C56="L3+L4","L4",IF($C56="L1+L4","L4",""))))</f>
        <v/>
      </c>
      <c r="J56" s="21">
        <f>IF($H56="","",IFERROR(INDEX(Offerte!$D$2:$D$200,MATCH($A56&amp;"|"&amp;$H56,Offerte!$L$2:$L$200,0)),0))</f>
        <v/>
      </c>
      <c r="K56" s="21">
        <f>IF($I56="","",IFERROR(INDEX(Offerte!$D$2:$D$200,MATCH($A56&amp;"|"&amp;$I56,Offerte!$L$2:$L$200,0)),0))</f>
        <v/>
      </c>
      <c r="L56" s="21">
        <f>IF($H56="","",IFERROR(INDEX(Offerte!$E$2:$E$200,MATCH($A56&amp;"|"&amp;$H56,Offerte!$L$2:$L$200,0)),0))</f>
        <v/>
      </c>
      <c r="M56" s="21">
        <f>IF($I56="","",IFERROR(INDEX(Offerte!$E$2:$E$200,MATCH($A56&amp;"|"&amp;$I56,Offerte!$L$2:$L$200,0)),0))</f>
        <v/>
      </c>
      <c r="N56" s="21">
        <f>IF($A56="","",IF(IFERROR(VALUE($D56),0)&lt;&gt;1,"NO",IF(AND(IFERROR(VALUE($J56),0)=1,IFERROR(VALUE($K56),0)=1,IFERROR(VALUE($L56),0)&gt;=Parametri!$B$2,IFERROR(VALUE($M56),0)&gt;=Parametri!$B$2,IFERROR(VALUE($F56),0)=1,IFERROR(VALUE($G56),0)=1,IFERROR(VALUE($E56),0)&gt;$U56),"SI","NO")))</f>
        <v/>
      </c>
      <c r="O56" s="21">
        <f>IF($N56="SI",IFERROR(30*(IFERROR(VALUE($E56),0)/MAX(SUMPRODUCT(MAX((Offerte!$C$2:$C$200=$H56)*(IFERROR(Offerte!$D$2:$D$200*1,0)=1)*(IFERROR(Offerte!$E$2:$E$200*1,0)&gt;=Parametri!$B$2)*IFERROR(Offerte!$F$2:$F$200*1,0))),SUMPRODUCT(MAX(($H$5:$H$80=$H56)*($N$5:$N$80="SI")*IFERROR($E$5:$E$80*1,0))),SUMPRODUCT(MAX(($I$5:$I$80=$H56)*($N$5:$N$80="SI")*IFERROR($E$5:$E$80*1,0))))),0),0)</f>
        <v/>
      </c>
      <c r="P56" s="21">
        <f>IF($N56="SI",IFERROR(30*(IFERROR(VALUE($E56),0)/MAX(SUMPRODUCT(MAX((Offerte!$C$2:$C$200=$I56)*(IFERROR(Offerte!$D$2:$D$200*1,0)=1)*(IFERROR(Offerte!$E$2:$E$200*1,0)&gt;=Parametri!$B$2)*IFERROR(Offerte!$F$2:$F$200*1,0))),SUMPRODUCT(MAX(($H$5:$H$80=$I56)*($N$5:$N$80="SI")*IFERROR($E$5:$E$80*1,0))),SUMPRODUCT(MAX(($I$5:$I$80=$I56)*($N$5:$N$80="SI")*IFERROR($E$5:$E$80*1,0))))),0),0)</f>
        <v/>
      </c>
      <c r="Q56" s="21">
        <f>IF($N56="SI",ROUND($L56+$M56+$O56+$P56,4),0)</f>
        <v/>
      </c>
      <c r="R56" s="21">
        <f>IF($A56="","",IF(IFERROR(VALUE($D56),0)&lt;&gt;1,"Non attiva",IF(OR(IFERROR(VALUE($J56),0)&lt;&gt;1,IFERROR(VALUE($K56),0)&lt;&gt;1),"Singoli non attivi",IF(OR(IFERROR(VALUE($L56),0)&lt;Parametri!$B$2,IFERROR(VALUE($M56),0)&lt;Parametri!$B$2),"Soglia non superata",IF(OR(IFERROR(VALUE($F56),0)&lt;&gt;1,IFERROR(VALUE($G56),0)&lt;&gt;1),"Buste/PEF non confermati",IF(IFERROR(VALUE($E56),0)&lt;=$U56,"Ribasso non migliorativo",""))))))</f>
        <v/>
      </c>
      <c r="S56" s="21">
        <f>IF($H56="","",IFERROR(INDEX(Offerte!$F$2:$F$200,MATCH($A56&amp;"|"&amp;$H56,Offerte!$L$2:$L$200,0)),0))</f>
        <v/>
      </c>
      <c r="T56" s="21">
        <f>IF($I56="","",IFERROR(INDEX(Offerte!$F$2:$F$200,MATCH($A56&amp;"|"&amp;$I56,Offerte!$L$2:$L$200,0)),0))</f>
        <v/>
      </c>
      <c r="U56" s="21">
        <f>IF($A56="","",ROUND((IFERROR(VALUE($S56),0)+IFERROR(VALUE($T56),0))/2,4))</f>
        <v/>
      </c>
      <c r="V56" s="21">
        <f>IF($A56="","",$C56&amp;"|"&amp;TEXT($Q56,"0.0000"))</f>
        <v/>
      </c>
      <c r="W56" s="21">
        <f>IF($A56="","",$C56&amp;"|"&amp;$A56)</f>
        <v/>
      </c>
    </row>
    <row r="57">
      <c r="A57" s="20" t="n"/>
      <c r="B57" s="20">
        <f>IF($A57="","",IFERROR(INDEX(Offerte!$B$2:$B$200,MATCH($A57,Offerte!$A$2:$A$200,0)),""))</f>
        <v/>
      </c>
      <c r="C57" s="20" t="n"/>
      <c r="D57" s="20" t="n"/>
      <c r="E57" s="20" t="n"/>
      <c r="F57" s="20" t="n"/>
      <c r="G57" s="20" t="n"/>
      <c r="H57" s="21">
        <f>IF($C57="L1+L2","L1",IF($C57="L2+L3","L2",IF($C57="L3+L4","L3",IF($C57="L1+L4","L1",""))))</f>
        <v/>
      </c>
      <c r="I57" s="21">
        <f>IF($C57="L1+L2","L2",IF($C57="L2+L3","L3",IF($C57="L3+L4","L4",IF($C57="L1+L4","L4",""))))</f>
        <v/>
      </c>
      <c r="J57" s="21">
        <f>IF($H57="","",IFERROR(INDEX(Offerte!$D$2:$D$200,MATCH($A57&amp;"|"&amp;$H57,Offerte!$L$2:$L$200,0)),0))</f>
        <v/>
      </c>
      <c r="K57" s="21">
        <f>IF($I57="","",IFERROR(INDEX(Offerte!$D$2:$D$200,MATCH($A57&amp;"|"&amp;$I57,Offerte!$L$2:$L$200,0)),0))</f>
        <v/>
      </c>
      <c r="L57" s="21">
        <f>IF($H57="","",IFERROR(INDEX(Offerte!$E$2:$E$200,MATCH($A57&amp;"|"&amp;$H57,Offerte!$L$2:$L$200,0)),0))</f>
        <v/>
      </c>
      <c r="M57" s="21">
        <f>IF($I57="","",IFERROR(INDEX(Offerte!$E$2:$E$200,MATCH($A57&amp;"|"&amp;$I57,Offerte!$L$2:$L$200,0)),0))</f>
        <v/>
      </c>
      <c r="N57" s="21">
        <f>IF($A57="","",IF(IFERROR(VALUE($D57),0)&lt;&gt;1,"NO",IF(AND(IFERROR(VALUE($J57),0)=1,IFERROR(VALUE($K57),0)=1,IFERROR(VALUE($L57),0)&gt;=Parametri!$B$2,IFERROR(VALUE($M57),0)&gt;=Parametri!$B$2,IFERROR(VALUE($F57),0)=1,IFERROR(VALUE($G57),0)=1,IFERROR(VALUE($E57),0)&gt;$U57),"SI","NO")))</f>
        <v/>
      </c>
      <c r="O57" s="21">
        <f>IF($N57="SI",IFERROR(30*(IFERROR(VALUE($E57),0)/MAX(SUMPRODUCT(MAX((Offerte!$C$2:$C$200=$H57)*(IFERROR(Offerte!$D$2:$D$200*1,0)=1)*(IFERROR(Offerte!$E$2:$E$200*1,0)&gt;=Parametri!$B$2)*IFERROR(Offerte!$F$2:$F$200*1,0))),SUMPRODUCT(MAX(($H$5:$H$80=$H57)*($N$5:$N$80="SI")*IFERROR($E$5:$E$80*1,0))),SUMPRODUCT(MAX(($I$5:$I$80=$H57)*($N$5:$N$80="SI")*IFERROR($E$5:$E$80*1,0))))),0),0)</f>
        <v/>
      </c>
      <c r="P57" s="21">
        <f>IF($N57="SI",IFERROR(30*(IFERROR(VALUE($E57),0)/MAX(SUMPRODUCT(MAX((Offerte!$C$2:$C$200=$I57)*(IFERROR(Offerte!$D$2:$D$200*1,0)=1)*(IFERROR(Offerte!$E$2:$E$200*1,0)&gt;=Parametri!$B$2)*IFERROR(Offerte!$F$2:$F$200*1,0))),SUMPRODUCT(MAX(($H$5:$H$80=$I57)*($N$5:$N$80="SI")*IFERROR($E$5:$E$80*1,0))),SUMPRODUCT(MAX(($I$5:$I$80=$I57)*($N$5:$N$80="SI")*IFERROR($E$5:$E$80*1,0))))),0),0)</f>
        <v/>
      </c>
      <c r="Q57" s="21">
        <f>IF($N57="SI",ROUND($L57+$M57+$O57+$P57,4),0)</f>
        <v/>
      </c>
      <c r="R57" s="21">
        <f>IF($A57="","",IF(IFERROR(VALUE($D57),0)&lt;&gt;1,"Non attiva",IF(OR(IFERROR(VALUE($J57),0)&lt;&gt;1,IFERROR(VALUE($K57),0)&lt;&gt;1),"Singoli non attivi",IF(OR(IFERROR(VALUE($L57),0)&lt;Parametri!$B$2,IFERROR(VALUE($M57),0)&lt;Parametri!$B$2),"Soglia non superata",IF(OR(IFERROR(VALUE($F57),0)&lt;&gt;1,IFERROR(VALUE($G57),0)&lt;&gt;1),"Buste/PEF non confermati",IF(IFERROR(VALUE($E57),0)&lt;=$U57,"Ribasso non migliorativo",""))))))</f>
        <v/>
      </c>
      <c r="S57" s="21">
        <f>IF($H57="","",IFERROR(INDEX(Offerte!$F$2:$F$200,MATCH($A57&amp;"|"&amp;$H57,Offerte!$L$2:$L$200,0)),0))</f>
        <v/>
      </c>
      <c r="T57" s="21">
        <f>IF($I57="","",IFERROR(INDEX(Offerte!$F$2:$F$200,MATCH($A57&amp;"|"&amp;$I57,Offerte!$L$2:$L$200,0)),0))</f>
        <v/>
      </c>
      <c r="U57" s="21">
        <f>IF($A57="","",ROUND((IFERROR(VALUE($S57),0)+IFERROR(VALUE($T57),0))/2,4))</f>
        <v/>
      </c>
      <c r="V57" s="21">
        <f>IF($A57="","",$C57&amp;"|"&amp;TEXT($Q57,"0.0000"))</f>
        <v/>
      </c>
      <c r="W57" s="21">
        <f>IF($A57="","",$C57&amp;"|"&amp;$A57)</f>
        <v/>
      </c>
    </row>
    <row r="58">
      <c r="A58" s="20" t="n"/>
      <c r="B58" s="20">
        <f>IF($A58="","",IFERROR(INDEX(Offerte!$B$2:$B$200,MATCH($A58,Offerte!$A$2:$A$200,0)),""))</f>
        <v/>
      </c>
      <c r="C58" s="20" t="n"/>
      <c r="D58" s="20" t="n"/>
      <c r="E58" s="20" t="n"/>
      <c r="F58" s="20" t="n"/>
      <c r="G58" s="20" t="n"/>
      <c r="H58" s="21">
        <f>IF($C58="L1+L2","L1",IF($C58="L2+L3","L2",IF($C58="L3+L4","L3",IF($C58="L1+L4","L1",""))))</f>
        <v/>
      </c>
      <c r="I58" s="21">
        <f>IF($C58="L1+L2","L2",IF($C58="L2+L3","L3",IF($C58="L3+L4","L4",IF($C58="L1+L4","L4",""))))</f>
        <v/>
      </c>
      <c r="J58" s="21">
        <f>IF($H58="","",IFERROR(INDEX(Offerte!$D$2:$D$200,MATCH($A58&amp;"|"&amp;$H58,Offerte!$L$2:$L$200,0)),0))</f>
        <v/>
      </c>
      <c r="K58" s="21">
        <f>IF($I58="","",IFERROR(INDEX(Offerte!$D$2:$D$200,MATCH($A58&amp;"|"&amp;$I58,Offerte!$L$2:$L$200,0)),0))</f>
        <v/>
      </c>
      <c r="L58" s="21">
        <f>IF($H58="","",IFERROR(INDEX(Offerte!$E$2:$E$200,MATCH($A58&amp;"|"&amp;$H58,Offerte!$L$2:$L$200,0)),0))</f>
        <v/>
      </c>
      <c r="M58" s="21">
        <f>IF($I58="","",IFERROR(INDEX(Offerte!$E$2:$E$200,MATCH($A58&amp;"|"&amp;$I58,Offerte!$L$2:$L$200,0)),0))</f>
        <v/>
      </c>
      <c r="N58" s="21">
        <f>IF($A58="","",IF(IFERROR(VALUE($D58),0)&lt;&gt;1,"NO",IF(AND(IFERROR(VALUE($J58),0)=1,IFERROR(VALUE($K58),0)=1,IFERROR(VALUE($L58),0)&gt;=Parametri!$B$2,IFERROR(VALUE($M58),0)&gt;=Parametri!$B$2,IFERROR(VALUE($F58),0)=1,IFERROR(VALUE($G58),0)=1,IFERROR(VALUE($E58),0)&gt;$U58),"SI","NO")))</f>
        <v/>
      </c>
      <c r="O58" s="21">
        <f>IF($N58="SI",IFERROR(30*(IFERROR(VALUE($E58),0)/MAX(SUMPRODUCT(MAX((Offerte!$C$2:$C$200=$H58)*(IFERROR(Offerte!$D$2:$D$200*1,0)=1)*(IFERROR(Offerte!$E$2:$E$200*1,0)&gt;=Parametri!$B$2)*IFERROR(Offerte!$F$2:$F$200*1,0))),SUMPRODUCT(MAX(($H$5:$H$80=$H58)*($N$5:$N$80="SI")*IFERROR($E$5:$E$80*1,0))),SUMPRODUCT(MAX(($I$5:$I$80=$H58)*($N$5:$N$80="SI")*IFERROR($E$5:$E$80*1,0))))),0),0)</f>
        <v/>
      </c>
      <c r="P58" s="21">
        <f>IF($N58="SI",IFERROR(30*(IFERROR(VALUE($E58),0)/MAX(SUMPRODUCT(MAX((Offerte!$C$2:$C$200=$I58)*(IFERROR(Offerte!$D$2:$D$200*1,0)=1)*(IFERROR(Offerte!$E$2:$E$200*1,0)&gt;=Parametri!$B$2)*IFERROR(Offerte!$F$2:$F$200*1,0))),SUMPRODUCT(MAX(($H$5:$H$80=$I58)*($N$5:$N$80="SI")*IFERROR($E$5:$E$80*1,0))),SUMPRODUCT(MAX(($I$5:$I$80=$I58)*($N$5:$N$80="SI")*IFERROR($E$5:$E$80*1,0))))),0),0)</f>
        <v/>
      </c>
      <c r="Q58" s="21">
        <f>IF($N58="SI",ROUND($L58+$M58+$O58+$P58,4),0)</f>
        <v/>
      </c>
      <c r="R58" s="21">
        <f>IF($A58="","",IF(IFERROR(VALUE($D58),0)&lt;&gt;1,"Non attiva",IF(OR(IFERROR(VALUE($J58),0)&lt;&gt;1,IFERROR(VALUE($K58),0)&lt;&gt;1),"Singoli non attivi",IF(OR(IFERROR(VALUE($L58),0)&lt;Parametri!$B$2,IFERROR(VALUE($M58),0)&lt;Parametri!$B$2),"Soglia non superata",IF(OR(IFERROR(VALUE($F58),0)&lt;&gt;1,IFERROR(VALUE($G58),0)&lt;&gt;1),"Buste/PEF non confermati",IF(IFERROR(VALUE($E58),0)&lt;=$U58,"Ribasso non migliorativo",""))))))</f>
        <v/>
      </c>
      <c r="S58" s="21">
        <f>IF($H58="","",IFERROR(INDEX(Offerte!$F$2:$F$200,MATCH($A58&amp;"|"&amp;$H58,Offerte!$L$2:$L$200,0)),0))</f>
        <v/>
      </c>
      <c r="T58" s="21">
        <f>IF($I58="","",IFERROR(INDEX(Offerte!$F$2:$F$200,MATCH($A58&amp;"|"&amp;$I58,Offerte!$L$2:$L$200,0)),0))</f>
        <v/>
      </c>
      <c r="U58" s="21">
        <f>IF($A58="","",ROUND((IFERROR(VALUE($S58),0)+IFERROR(VALUE($T58),0))/2,4))</f>
        <v/>
      </c>
      <c r="V58" s="21">
        <f>IF($A58="","",$C58&amp;"|"&amp;TEXT($Q58,"0.0000"))</f>
        <v/>
      </c>
      <c r="W58" s="21">
        <f>IF($A58="","",$C58&amp;"|"&amp;$A58)</f>
        <v/>
      </c>
    </row>
    <row r="59">
      <c r="A59" s="20" t="n"/>
      <c r="B59" s="20">
        <f>IF($A59="","",IFERROR(INDEX(Offerte!$B$2:$B$200,MATCH($A59,Offerte!$A$2:$A$200,0)),""))</f>
        <v/>
      </c>
      <c r="C59" s="20" t="n"/>
      <c r="D59" s="20" t="n"/>
      <c r="E59" s="20" t="n"/>
      <c r="F59" s="20" t="n"/>
      <c r="G59" s="20" t="n"/>
      <c r="H59" s="21">
        <f>IF($C59="L1+L2","L1",IF($C59="L2+L3","L2",IF($C59="L3+L4","L3",IF($C59="L1+L4","L1",""))))</f>
        <v/>
      </c>
      <c r="I59" s="21">
        <f>IF($C59="L1+L2","L2",IF($C59="L2+L3","L3",IF($C59="L3+L4","L4",IF($C59="L1+L4","L4",""))))</f>
        <v/>
      </c>
      <c r="J59" s="21">
        <f>IF($H59="","",IFERROR(INDEX(Offerte!$D$2:$D$200,MATCH($A59&amp;"|"&amp;$H59,Offerte!$L$2:$L$200,0)),0))</f>
        <v/>
      </c>
      <c r="K59" s="21">
        <f>IF($I59="","",IFERROR(INDEX(Offerte!$D$2:$D$200,MATCH($A59&amp;"|"&amp;$I59,Offerte!$L$2:$L$200,0)),0))</f>
        <v/>
      </c>
      <c r="L59" s="21">
        <f>IF($H59="","",IFERROR(INDEX(Offerte!$E$2:$E$200,MATCH($A59&amp;"|"&amp;$H59,Offerte!$L$2:$L$200,0)),0))</f>
        <v/>
      </c>
      <c r="M59" s="21">
        <f>IF($I59="","",IFERROR(INDEX(Offerte!$E$2:$E$200,MATCH($A59&amp;"|"&amp;$I59,Offerte!$L$2:$L$200,0)),0))</f>
        <v/>
      </c>
      <c r="N59" s="21">
        <f>IF($A59="","",IF(IFERROR(VALUE($D59),0)&lt;&gt;1,"NO",IF(AND(IFERROR(VALUE($J59),0)=1,IFERROR(VALUE($K59),0)=1,IFERROR(VALUE($L59),0)&gt;=Parametri!$B$2,IFERROR(VALUE($M59),0)&gt;=Parametri!$B$2,IFERROR(VALUE($F59),0)=1,IFERROR(VALUE($G59),0)=1,IFERROR(VALUE($E59),0)&gt;$U59),"SI","NO")))</f>
        <v/>
      </c>
      <c r="O59" s="21">
        <f>IF($N59="SI",IFERROR(30*(IFERROR(VALUE($E59),0)/MAX(SUMPRODUCT(MAX((Offerte!$C$2:$C$200=$H59)*(IFERROR(Offerte!$D$2:$D$200*1,0)=1)*(IFERROR(Offerte!$E$2:$E$200*1,0)&gt;=Parametri!$B$2)*IFERROR(Offerte!$F$2:$F$200*1,0))),SUMPRODUCT(MAX(($H$5:$H$80=$H59)*($N$5:$N$80="SI")*IFERROR($E$5:$E$80*1,0))),SUMPRODUCT(MAX(($I$5:$I$80=$H59)*($N$5:$N$80="SI")*IFERROR($E$5:$E$80*1,0))))),0),0)</f>
        <v/>
      </c>
      <c r="P59" s="21">
        <f>IF($N59="SI",IFERROR(30*(IFERROR(VALUE($E59),0)/MAX(SUMPRODUCT(MAX((Offerte!$C$2:$C$200=$I59)*(IFERROR(Offerte!$D$2:$D$200*1,0)=1)*(IFERROR(Offerte!$E$2:$E$200*1,0)&gt;=Parametri!$B$2)*IFERROR(Offerte!$F$2:$F$200*1,0))),SUMPRODUCT(MAX(($H$5:$H$80=$I59)*($N$5:$N$80="SI")*IFERROR($E$5:$E$80*1,0))),SUMPRODUCT(MAX(($I$5:$I$80=$I59)*($N$5:$N$80="SI")*IFERROR($E$5:$E$80*1,0))))),0),0)</f>
        <v/>
      </c>
      <c r="Q59" s="21">
        <f>IF($N59="SI",ROUND($L59+$M59+$O59+$P59,4),0)</f>
        <v/>
      </c>
      <c r="R59" s="21">
        <f>IF($A59="","",IF(IFERROR(VALUE($D59),0)&lt;&gt;1,"Non attiva",IF(OR(IFERROR(VALUE($J59),0)&lt;&gt;1,IFERROR(VALUE($K59),0)&lt;&gt;1),"Singoli non attivi",IF(OR(IFERROR(VALUE($L59),0)&lt;Parametri!$B$2,IFERROR(VALUE($M59),0)&lt;Parametri!$B$2),"Soglia non superata",IF(OR(IFERROR(VALUE($F59),0)&lt;&gt;1,IFERROR(VALUE($G59),0)&lt;&gt;1),"Buste/PEF non confermati",IF(IFERROR(VALUE($E59),0)&lt;=$U59,"Ribasso non migliorativo",""))))))</f>
        <v/>
      </c>
      <c r="S59" s="21">
        <f>IF($H59="","",IFERROR(INDEX(Offerte!$F$2:$F$200,MATCH($A59&amp;"|"&amp;$H59,Offerte!$L$2:$L$200,0)),0))</f>
        <v/>
      </c>
      <c r="T59" s="21">
        <f>IF($I59="","",IFERROR(INDEX(Offerte!$F$2:$F$200,MATCH($A59&amp;"|"&amp;$I59,Offerte!$L$2:$L$200,0)),0))</f>
        <v/>
      </c>
      <c r="U59" s="21">
        <f>IF($A59="","",ROUND((IFERROR(VALUE($S59),0)+IFERROR(VALUE($T59),0))/2,4))</f>
        <v/>
      </c>
      <c r="V59" s="21">
        <f>IF($A59="","",$C59&amp;"|"&amp;TEXT($Q59,"0.0000"))</f>
        <v/>
      </c>
      <c r="W59" s="21">
        <f>IF($A59="","",$C59&amp;"|"&amp;$A59)</f>
        <v/>
      </c>
    </row>
    <row r="60">
      <c r="A60" s="20" t="n"/>
      <c r="B60" s="20">
        <f>IF($A60="","",IFERROR(INDEX(Offerte!$B$2:$B$200,MATCH($A60,Offerte!$A$2:$A$200,0)),""))</f>
        <v/>
      </c>
      <c r="C60" s="20" t="n"/>
      <c r="D60" s="20" t="n"/>
      <c r="E60" s="20" t="n"/>
      <c r="F60" s="20" t="n"/>
      <c r="G60" s="20" t="n"/>
      <c r="H60" s="21">
        <f>IF($C60="L1+L2","L1",IF($C60="L2+L3","L2",IF($C60="L3+L4","L3",IF($C60="L1+L4","L1",""))))</f>
        <v/>
      </c>
      <c r="I60" s="21">
        <f>IF($C60="L1+L2","L2",IF($C60="L2+L3","L3",IF($C60="L3+L4","L4",IF($C60="L1+L4","L4",""))))</f>
        <v/>
      </c>
      <c r="J60" s="21">
        <f>IF($H60="","",IFERROR(INDEX(Offerte!$D$2:$D$200,MATCH($A60&amp;"|"&amp;$H60,Offerte!$L$2:$L$200,0)),0))</f>
        <v/>
      </c>
      <c r="K60" s="21">
        <f>IF($I60="","",IFERROR(INDEX(Offerte!$D$2:$D$200,MATCH($A60&amp;"|"&amp;$I60,Offerte!$L$2:$L$200,0)),0))</f>
        <v/>
      </c>
      <c r="L60" s="21">
        <f>IF($H60="","",IFERROR(INDEX(Offerte!$E$2:$E$200,MATCH($A60&amp;"|"&amp;$H60,Offerte!$L$2:$L$200,0)),0))</f>
        <v/>
      </c>
      <c r="M60" s="21">
        <f>IF($I60="","",IFERROR(INDEX(Offerte!$E$2:$E$200,MATCH($A60&amp;"|"&amp;$I60,Offerte!$L$2:$L$200,0)),0))</f>
        <v/>
      </c>
      <c r="N60" s="21">
        <f>IF($A60="","",IF(IFERROR(VALUE($D60),0)&lt;&gt;1,"NO",IF(AND(IFERROR(VALUE($J60),0)=1,IFERROR(VALUE($K60),0)=1,IFERROR(VALUE($L60),0)&gt;=Parametri!$B$2,IFERROR(VALUE($M60),0)&gt;=Parametri!$B$2,IFERROR(VALUE($F60),0)=1,IFERROR(VALUE($G60),0)=1,IFERROR(VALUE($E60),0)&gt;$U60),"SI","NO")))</f>
        <v/>
      </c>
      <c r="O60" s="21">
        <f>IF($N60="SI",IFERROR(30*(IFERROR(VALUE($E60),0)/MAX(SUMPRODUCT(MAX((Offerte!$C$2:$C$200=$H60)*(IFERROR(Offerte!$D$2:$D$200*1,0)=1)*(IFERROR(Offerte!$E$2:$E$200*1,0)&gt;=Parametri!$B$2)*IFERROR(Offerte!$F$2:$F$200*1,0))),SUMPRODUCT(MAX(($H$5:$H$80=$H60)*($N$5:$N$80="SI")*IFERROR($E$5:$E$80*1,0))),SUMPRODUCT(MAX(($I$5:$I$80=$H60)*($N$5:$N$80="SI")*IFERROR($E$5:$E$80*1,0))))),0),0)</f>
        <v/>
      </c>
      <c r="P60" s="21">
        <f>IF($N60="SI",IFERROR(30*(IFERROR(VALUE($E60),0)/MAX(SUMPRODUCT(MAX((Offerte!$C$2:$C$200=$I60)*(IFERROR(Offerte!$D$2:$D$200*1,0)=1)*(IFERROR(Offerte!$E$2:$E$200*1,0)&gt;=Parametri!$B$2)*IFERROR(Offerte!$F$2:$F$200*1,0))),SUMPRODUCT(MAX(($H$5:$H$80=$I60)*($N$5:$N$80="SI")*IFERROR($E$5:$E$80*1,0))),SUMPRODUCT(MAX(($I$5:$I$80=$I60)*($N$5:$N$80="SI")*IFERROR($E$5:$E$80*1,0))))),0),0)</f>
        <v/>
      </c>
      <c r="Q60" s="21">
        <f>IF($N60="SI",ROUND($L60+$M60+$O60+$P60,4),0)</f>
        <v/>
      </c>
      <c r="R60" s="21">
        <f>IF($A60="","",IF(IFERROR(VALUE($D60),0)&lt;&gt;1,"Non attiva",IF(OR(IFERROR(VALUE($J60),0)&lt;&gt;1,IFERROR(VALUE($K60),0)&lt;&gt;1),"Singoli non attivi",IF(OR(IFERROR(VALUE($L60),0)&lt;Parametri!$B$2,IFERROR(VALUE($M60),0)&lt;Parametri!$B$2),"Soglia non superata",IF(OR(IFERROR(VALUE($F60),0)&lt;&gt;1,IFERROR(VALUE($G60),0)&lt;&gt;1),"Buste/PEF non confermati",IF(IFERROR(VALUE($E60),0)&lt;=$U60,"Ribasso non migliorativo",""))))))</f>
        <v/>
      </c>
      <c r="S60" s="21">
        <f>IF($H60="","",IFERROR(INDEX(Offerte!$F$2:$F$200,MATCH($A60&amp;"|"&amp;$H60,Offerte!$L$2:$L$200,0)),0))</f>
        <v/>
      </c>
      <c r="T60" s="21">
        <f>IF($I60="","",IFERROR(INDEX(Offerte!$F$2:$F$200,MATCH($A60&amp;"|"&amp;$I60,Offerte!$L$2:$L$200,0)),0))</f>
        <v/>
      </c>
      <c r="U60" s="21">
        <f>IF($A60="","",ROUND((IFERROR(VALUE($S60),0)+IFERROR(VALUE($T60),0))/2,4))</f>
        <v/>
      </c>
      <c r="V60" s="21">
        <f>IF($A60="","",$C60&amp;"|"&amp;TEXT($Q60,"0.0000"))</f>
        <v/>
      </c>
      <c r="W60" s="21">
        <f>IF($A60="","",$C60&amp;"|"&amp;$A60)</f>
        <v/>
      </c>
    </row>
    <row r="61">
      <c r="A61" s="20" t="n"/>
      <c r="B61" s="20">
        <f>IF($A61="","",IFERROR(INDEX(Offerte!$B$2:$B$200,MATCH($A61,Offerte!$A$2:$A$200,0)),""))</f>
        <v/>
      </c>
      <c r="C61" s="20" t="n"/>
      <c r="D61" s="20" t="n"/>
      <c r="E61" s="20" t="n"/>
      <c r="F61" s="20" t="n"/>
      <c r="G61" s="20" t="n"/>
      <c r="H61" s="21">
        <f>IF($C61="L1+L2","L1",IF($C61="L2+L3","L2",IF($C61="L3+L4","L3",IF($C61="L1+L4","L1",""))))</f>
        <v/>
      </c>
      <c r="I61" s="21">
        <f>IF($C61="L1+L2","L2",IF($C61="L2+L3","L3",IF($C61="L3+L4","L4",IF($C61="L1+L4","L4",""))))</f>
        <v/>
      </c>
      <c r="J61" s="21">
        <f>IF($H61="","",IFERROR(INDEX(Offerte!$D$2:$D$200,MATCH($A61&amp;"|"&amp;$H61,Offerte!$L$2:$L$200,0)),0))</f>
        <v/>
      </c>
      <c r="K61" s="21">
        <f>IF($I61="","",IFERROR(INDEX(Offerte!$D$2:$D$200,MATCH($A61&amp;"|"&amp;$I61,Offerte!$L$2:$L$200,0)),0))</f>
        <v/>
      </c>
      <c r="L61" s="21">
        <f>IF($H61="","",IFERROR(INDEX(Offerte!$E$2:$E$200,MATCH($A61&amp;"|"&amp;$H61,Offerte!$L$2:$L$200,0)),0))</f>
        <v/>
      </c>
      <c r="M61" s="21">
        <f>IF($I61="","",IFERROR(INDEX(Offerte!$E$2:$E$200,MATCH($A61&amp;"|"&amp;$I61,Offerte!$L$2:$L$200,0)),0))</f>
        <v/>
      </c>
      <c r="N61" s="21">
        <f>IF($A61="","",IF(IFERROR(VALUE($D61),0)&lt;&gt;1,"NO",IF(AND(IFERROR(VALUE($J61),0)=1,IFERROR(VALUE($K61),0)=1,IFERROR(VALUE($L61),0)&gt;=Parametri!$B$2,IFERROR(VALUE($M61),0)&gt;=Parametri!$B$2,IFERROR(VALUE($F61),0)=1,IFERROR(VALUE($G61),0)=1,IFERROR(VALUE($E61),0)&gt;$U61),"SI","NO")))</f>
        <v/>
      </c>
      <c r="O61" s="21">
        <f>IF($N61="SI",IFERROR(30*(IFERROR(VALUE($E61),0)/MAX(SUMPRODUCT(MAX((Offerte!$C$2:$C$200=$H61)*(IFERROR(Offerte!$D$2:$D$200*1,0)=1)*(IFERROR(Offerte!$E$2:$E$200*1,0)&gt;=Parametri!$B$2)*IFERROR(Offerte!$F$2:$F$200*1,0))),SUMPRODUCT(MAX(($H$5:$H$80=$H61)*($N$5:$N$80="SI")*IFERROR($E$5:$E$80*1,0))),SUMPRODUCT(MAX(($I$5:$I$80=$H61)*($N$5:$N$80="SI")*IFERROR($E$5:$E$80*1,0))))),0),0)</f>
        <v/>
      </c>
      <c r="P61" s="21">
        <f>IF($N61="SI",IFERROR(30*(IFERROR(VALUE($E61),0)/MAX(SUMPRODUCT(MAX((Offerte!$C$2:$C$200=$I61)*(IFERROR(Offerte!$D$2:$D$200*1,0)=1)*(IFERROR(Offerte!$E$2:$E$200*1,0)&gt;=Parametri!$B$2)*IFERROR(Offerte!$F$2:$F$200*1,0))),SUMPRODUCT(MAX(($H$5:$H$80=$I61)*($N$5:$N$80="SI")*IFERROR($E$5:$E$80*1,0))),SUMPRODUCT(MAX(($I$5:$I$80=$I61)*($N$5:$N$80="SI")*IFERROR($E$5:$E$80*1,0))))),0),0)</f>
        <v/>
      </c>
      <c r="Q61" s="21">
        <f>IF($N61="SI",ROUND($L61+$M61+$O61+$P61,4),0)</f>
        <v/>
      </c>
      <c r="R61" s="21">
        <f>IF($A61="","",IF(IFERROR(VALUE($D61),0)&lt;&gt;1,"Non attiva",IF(OR(IFERROR(VALUE($J61),0)&lt;&gt;1,IFERROR(VALUE($K61),0)&lt;&gt;1),"Singoli non attivi",IF(OR(IFERROR(VALUE($L61),0)&lt;Parametri!$B$2,IFERROR(VALUE($M61),0)&lt;Parametri!$B$2),"Soglia non superata",IF(OR(IFERROR(VALUE($F61),0)&lt;&gt;1,IFERROR(VALUE($G61),0)&lt;&gt;1),"Buste/PEF non confermati",IF(IFERROR(VALUE($E61),0)&lt;=$U61,"Ribasso non migliorativo",""))))))</f>
        <v/>
      </c>
      <c r="S61" s="21">
        <f>IF($H61="","",IFERROR(INDEX(Offerte!$F$2:$F$200,MATCH($A61&amp;"|"&amp;$H61,Offerte!$L$2:$L$200,0)),0))</f>
        <v/>
      </c>
      <c r="T61" s="21">
        <f>IF($I61="","",IFERROR(INDEX(Offerte!$F$2:$F$200,MATCH($A61&amp;"|"&amp;$I61,Offerte!$L$2:$L$200,0)),0))</f>
        <v/>
      </c>
      <c r="U61" s="21">
        <f>IF($A61="","",ROUND((IFERROR(VALUE($S61),0)+IFERROR(VALUE($T61),0))/2,4))</f>
        <v/>
      </c>
      <c r="V61" s="21">
        <f>IF($A61="","",$C61&amp;"|"&amp;TEXT($Q61,"0.0000"))</f>
        <v/>
      </c>
      <c r="W61" s="21">
        <f>IF($A61="","",$C61&amp;"|"&amp;$A61)</f>
        <v/>
      </c>
    </row>
    <row r="62">
      <c r="A62" s="20" t="n"/>
      <c r="B62" s="20">
        <f>IF($A62="","",IFERROR(INDEX(Offerte!$B$2:$B$200,MATCH($A62,Offerte!$A$2:$A$200,0)),""))</f>
        <v/>
      </c>
      <c r="C62" s="20" t="n"/>
      <c r="D62" s="20" t="n"/>
      <c r="E62" s="20" t="n"/>
      <c r="F62" s="20" t="n"/>
      <c r="G62" s="20" t="n"/>
      <c r="H62" s="21">
        <f>IF($C62="L1+L2","L1",IF($C62="L2+L3","L2",IF($C62="L3+L4","L3",IF($C62="L1+L4","L1",""))))</f>
        <v/>
      </c>
      <c r="I62" s="21">
        <f>IF($C62="L1+L2","L2",IF($C62="L2+L3","L3",IF($C62="L3+L4","L4",IF($C62="L1+L4","L4",""))))</f>
        <v/>
      </c>
      <c r="J62" s="21">
        <f>IF($H62="","",IFERROR(INDEX(Offerte!$D$2:$D$200,MATCH($A62&amp;"|"&amp;$H62,Offerte!$L$2:$L$200,0)),0))</f>
        <v/>
      </c>
      <c r="K62" s="21">
        <f>IF($I62="","",IFERROR(INDEX(Offerte!$D$2:$D$200,MATCH($A62&amp;"|"&amp;$I62,Offerte!$L$2:$L$200,0)),0))</f>
        <v/>
      </c>
      <c r="L62" s="21">
        <f>IF($H62="","",IFERROR(INDEX(Offerte!$E$2:$E$200,MATCH($A62&amp;"|"&amp;$H62,Offerte!$L$2:$L$200,0)),0))</f>
        <v/>
      </c>
      <c r="M62" s="21">
        <f>IF($I62="","",IFERROR(INDEX(Offerte!$E$2:$E$200,MATCH($A62&amp;"|"&amp;$I62,Offerte!$L$2:$L$200,0)),0))</f>
        <v/>
      </c>
      <c r="N62" s="21">
        <f>IF($A62="","",IF(IFERROR(VALUE($D62),0)&lt;&gt;1,"NO",IF(AND(IFERROR(VALUE($J62),0)=1,IFERROR(VALUE($K62),0)=1,IFERROR(VALUE($L62),0)&gt;=Parametri!$B$2,IFERROR(VALUE($M62),0)&gt;=Parametri!$B$2,IFERROR(VALUE($F62),0)=1,IFERROR(VALUE($G62),0)=1,IFERROR(VALUE($E62),0)&gt;$U62),"SI","NO")))</f>
        <v/>
      </c>
      <c r="O62" s="21">
        <f>IF($N62="SI",IFERROR(30*(IFERROR(VALUE($E62),0)/MAX(SUMPRODUCT(MAX((Offerte!$C$2:$C$200=$H62)*(IFERROR(Offerte!$D$2:$D$200*1,0)=1)*(IFERROR(Offerte!$E$2:$E$200*1,0)&gt;=Parametri!$B$2)*IFERROR(Offerte!$F$2:$F$200*1,0))),SUMPRODUCT(MAX(($H$5:$H$80=$H62)*($N$5:$N$80="SI")*IFERROR($E$5:$E$80*1,0))),SUMPRODUCT(MAX(($I$5:$I$80=$H62)*($N$5:$N$80="SI")*IFERROR($E$5:$E$80*1,0))))),0),0)</f>
        <v/>
      </c>
      <c r="P62" s="21">
        <f>IF($N62="SI",IFERROR(30*(IFERROR(VALUE($E62),0)/MAX(SUMPRODUCT(MAX((Offerte!$C$2:$C$200=$I62)*(IFERROR(Offerte!$D$2:$D$200*1,0)=1)*(IFERROR(Offerte!$E$2:$E$200*1,0)&gt;=Parametri!$B$2)*IFERROR(Offerte!$F$2:$F$200*1,0))),SUMPRODUCT(MAX(($H$5:$H$80=$I62)*($N$5:$N$80="SI")*IFERROR($E$5:$E$80*1,0))),SUMPRODUCT(MAX(($I$5:$I$80=$I62)*($N$5:$N$80="SI")*IFERROR($E$5:$E$80*1,0))))),0),0)</f>
        <v/>
      </c>
      <c r="Q62" s="21">
        <f>IF($N62="SI",ROUND($L62+$M62+$O62+$P62,4),0)</f>
        <v/>
      </c>
      <c r="R62" s="21">
        <f>IF($A62="","",IF(IFERROR(VALUE($D62),0)&lt;&gt;1,"Non attiva",IF(OR(IFERROR(VALUE($J62),0)&lt;&gt;1,IFERROR(VALUE($K62),0)&lt;&gt;1),"Singoli non attivi",IF(OR(IFERROR(VALUE($L62),0)&lt;Parametri!$B$2,IFERROR(VALUE($M62),0)&lt;Parametri!$B$2),"Soglia non superata",IF(OR(IFERROR(VALUE($F62),0)&lt;&gt;1,IFERROR(VALUE($G62),0)&lt;&gt;1),"Buste/PEF non confermati",IF(IFERROR(VALUE($E62),0)&lt;=$U62,"Ribasso non migliorativo",""))))))</f>
        <v/>
      </c>
      <c r="S62" s="21">
        <f>IF($H62="","",IFERROR(INDEX(Offerte!$F$2:$F$200,MATCH($A62&amp;"|"&amp;$H62,Offerte!$L$2:$L$200,0)),0))</f>
        <v/>
      </c>
      <c r="T62" s="21">
        <f>IF($I62="","",IFERROR(INDEX(Offerte!$F$2:$F$200,MATCH($A62&amp;"|"&amp;$I62,Offerte!$L$2:$L$200,0)),0))</f>
        <v/>
      </c>
      <c r="U62" s="21">
        <f>IF($A62="","",ROUND((IFERROR(VALUE($S62),0)+IFERROR(VALUE($T62),0))/2,4))</f>
        <v/>
      </c>
      <c r="V62" s="21">
        <f>IF($A62="","",$C62&amp;"|"&amp;TEXT($Q62,"0.0000"))</f>
        <v/>
      </c>
      <c r="W62" s="21">
        <f>IF($A62="","",$C62&amp;"|"&amp;$A62)</f>
        <v/>
      </c>
    </row>
    <row r="63">
      <c r="A63" s="20" t="n"/>
      <c r="B63" s="20">
        <f>IF($A63="","",IFERROR(INDEX(Offerte!$B$2:$B$200,MATCH($A63,Offerte!$A$2:$A$200,0)),""))</f>
        <v/>
      </c>
      <c r="C63" s="20" t="n"/>
      <c r="D63" s="20" t="n"/>
      <c r="E63" s="20" t="n"/>
      <c r="F63" s="20" t="n"/>
      <c r="G63" s="20" t="n"/>
      <c r="H63" s="21">
        <f>IF($C63="L1+L2","L1",IF($C63="L2+L3","L2",IF($C63="L3+L4","L3",IF($C63="L1+L4","L1",""))))</f>
        <v/>
      </c>
      <c r="I63" s="21">
        <f>IF($C63="L1+L2","L2",IF($C63="L2+L3","L3",IF($C63="L3+L4","L4",IF($C63="L1+L4","L4",""))))</f>
        <v/>
      </c>
      <c r="J63" s="21">
        <f>IF($H63="","",IFERROR(INDEX(Offerte!$D$2:$D$200,MATCH($A63&amp;"|"&amp;$H63,Offerte!$L$2:$L$200,0)),0))</f>
        <v/>
      </c>
      <c r="K63" s="21">
        <f>IF($I63="","",IFERROR(INDEX(Offerte!$D$2:$D$200,MATCH($A63&amp;"|"&amp;$I63,Offerte!$L$2:$L$200,0)),0))</f>
        <v/>
      </c>
      <c r="L63" s="21">
        <f>IF($H63="","",IFERROR(INDEX(Offerte!$E$2:$E$200,MATCH($A63&amp;"|"&amp;$H63,Offerte!$L$2:$L$200,0)),0))</f>
        <v/>
      </c>
      <c r="M63" s="21">
        <f>IF($I63="","",IFERROR(INDEX(Offerte!$E$2:$E$200,MATCH($A63&amp;"|"&amp;$I63,Offerte!$L$2:$L$200,0)),0))</f>
        <v/>
      </c>
      <c r="N63" s="21">
        <f>IF($A63="","",IF(IFERROR(VALUE($D63),0)&lt;&gt;1,"NO",IF(AND(IFERROR(VALUE($J63),0)=1,IFERROR(VALUE($K63),0)=1,IFERROR(VALUE($L63),0)&gt;=Parametri!$B$2,IFERROR(VALUE($M63),0)&gt;=Parametri!$B$2,IFERROR(VALUE($F63),0)=1,IFERROR(VALUE($G63),0)=1,IFERROR(VALUE($E63),0)&gt;$U63),"SI","NO")))</f>
        <v/>
      </c>
      <c r="O63" s="21">
        <f>IF($N63="SI",IFERROR(30*(IFERROR(VALUE($E63),0)/MAX(SUMPRODUCT(MAX((Offerte!$C$2:$C$200=$H63)*(IFERROR(Offerte!$D$2:$D$200*1,0)=1)*(IFERROR(Offerte!$E$2:$E$200*1,0)&gt;=Parametri!$B$2)*IFERROR(Offerte!$F$2:$F$200*1,0))),SUMPRODUCT(MAX(($H$5:$H$80=$H63)*($N$5:$N$80="SI")*IFERROR($E$5:$E$80*1,0))),SUMPRODUCT(MAX(($I$5:$I$80=$H63)*($N$5:$N$80="SI")*IFERROR($E$5:$E$80*1,0))))),0),0)</f>
        <v/>
      </c>
      <c r="P63" s="21">
        <f>IF($N63="SI",IFERROR(30*(IFERROR(VALUE($E63),0)/MAX(SUMPRODUCT(MAX((Offerte!$C$2:$C$200=$I63)*(IFERROR(Offerte!$D$2:$D$200*1,0)=1)*(IFERROR(Offerte!$E$2:$E$200*1,0)&gt;=Parametri!$B$2)*IFERROR(Offerte!$F$2:$F$200*1,0))),SUMPRODUCT(MAX(($H$5:$H$80=$I63)*($N$5:$N$80="SI")*IFERROR($E$5:$E$80*1,0))),SUMPRODUCT(MAX(($I$5:$I$80=$I63)*($N$5:$N$80="SI")*IFERROR($E$5:$E$80*1,0))))),0),0)</f>
        <v/>
      </c>
      <c r="Q63" s="21">
        <f>IF($N63="SI",ROUND($L63+$M63+$O63+$P63,4),0)</f>
        <v/>
      </c>
      <c r="R63" s="21">
        <f>IF($A63="","",IF(IFERROR(VALUE($D63),0)&lt;&gt;1,"Non attiva",IF(OR(IFERROR(VALUE($J63),0)&lt;&gt;1,IFERROR(VALUE($K63),0)&lt;&gt;1),"Singoli non attivi",IF(OR(IFERROR(VALUE($L63),0)&lt;Parametri!$B$2,IFERROR(VALUE($M63),0)&lt;Parametri!$B$2),"Soglia non superata",IF(OR(IFERROR(VALUE($F63),0)&lt;&gt;1,IFERROR(VALUE($G63),0)&lt;&gt;1),"Buste/PEF non confermati",IF(IFERROR(VALUE($E63),0)&lt;=$U63,"Ribasso non migliorativo",""))))))</f>
        <v/>
      </c>
      <c r="S63" s="21">
        <f>IF($H63="","",IFERROR(INDEX(Offerte!$F$2:$F$200,MATCH($A63&amp;"|"&amp;$H63,Offerte!$L$2:$L$200,0)),0))</f>
        <v/>
      </c>
      <c r="T63" s="21">
        <f>IF($I63="","",IFERROR(INDEX(Offerte!$F$2:$F$200,MATCH($A63&amp;"|"&amp;$I63,Offerte!$L$2:$L$200,0)),0))</f>
        <v/>
      </c>
      <c r="U63" s="21">
        <f>IF($A63="","",ROUND((IFERROR(VALUE($S63),0)+IFERROR(VALUE($T63),0))/2,4))</f>
        <v/>
      </c>
      <c r="V63" s="21">
        <f>IF($A63="","",$C63&amp;"|"&amp;TEXT($Q63,"0.0000"))</f>
        <v/>
      </c>
      <c r="W63" s="21">
        <f>IF($A63="","",$C63&amp;"|"&amp;$A63)</f>
        <v/>
      </c>
    </row>
    <row r="64">
      <c r="A64" s="20" t="n"/>
      <c r="B64" s="20">
        <f>IF($A64="","",IFERROR(INDEX(Offerte!$B$2:$B$200,MATCH($A64,Offerte!$A$2:$A$200,0)),""))</f>
        <v/>
      </c>
      <c r="C64" s="20" t="n"/>
      <c r="D64" s="20" t="n"/>
      <c r="E64" s="20" t="n"/>
      <c r="F64" s="20" t="n"/>
      <c r="G64" s="20" t="n"/>
      <c r="H64" s="21">
        <f>IF($C64="L1+L2","L1",IF($C64="L2+L3","L2",IF($C64="L3+L4","L3",IF($C64="L1+L4","L1",""))))</f>
        <v/>
      </c>
      <c r="I64" s="21">
        <f>IF($C64="L1+L2","L2",IF($C64="L2+L3","L3",IF($C64="L3+L4","L4",IF($C64="L1+L4","L4",""))))</f>
        <v/>
      </c>
      <c r="J64" s="21">
        <f>IF($H64="","",IFERROR(INDEX(Offerte!$D$2:$D$200,MATCH($A64&amp;"|"&amp;$H64,Offerte!$L$2:$L$200,0)),0))</f>
        <v/>
      </c>
      <c r="K64" s="21">
        <f>IF($I64="","",IFERROR(INDEX(Offerte!$D$2:$D$200,MATCH($A64&amp;"|"&amp;$I64,Offerte!$L$2:$L$200,0)),0))</f>
        <v/>
      </c>
      <c r="L64" s="21">
        <f>IF($H64="","",IFERROR(INDEX(Offerte!$E$2:$E$200,MATCH($A64&amp;"|"&amp;$H64,Offerte!$L$2:$L$200,0)),0))</f>
        <v/>
      </c>
      <c r="M64" s="21">
        <f>IF($I64="","",IFERROR(INDEX(Offerte!$E$2:$E$200,MATCH($A64&amp;"|"&amp;$I64,Offerte!$L$2:$L$200,0)),0))</f>
        <v/>
      </c>
      <c r="N64" s="21">
        <f>IF($A64="","",IF(IFERROR(VALUE($D64),0)&lt;&gt;1,"NO",IF(AND(IFERROR(VALUE($J64),0)=1,IFERROR(VALUE($K64),0)=1,IFERROR(VALUE($L64),0)&gt;=Parametri!$B$2,IFERROR(VALUE($M64),0)&gt;=Parametri!$B$2,IFERROR(VALUE($F64),0)=1,IFERROR(VALUE($G64),0)=1,IFERROR(VALUE($E64),0)&gt;$U64),"SI","NO")))</f>
        <v/>
      </c>
      <c r="O64" s="21">
        <f>IF($N64="SI",IFERROR(30*(IFERROR(VALUE($E64),0)/MAX(SUMPRODUCT(MAX((Offerte!$C$2:$C$200=$H64)*(IFERROR(Offerte!$D$2:$D$200*1,0)=1)*(IFERROR(Offerte!$E$2:$E$200*1,0)&gt;=Parametri!$B$2)*IFERROR(Offerte!$F$2:$F$200*1,0))),SUMPRODUCT(MAX(($H$5:$H$80=$H64)*($N$5:$N$80="SI")*IFERROR($E$5:$E$80*1,0))),SUMPRODUCT(MAX(($I$5:$I$80=$H64)*($N$5:$N$80="SI")*IFERROR($E$5:$E$80*1,0))))),0),0)</f>
        <v/>
      </c>
      <c r="P64" s="21">
        <f>IF($N64="SI",IFERROR(30*(IFERROR(VALUE($E64),0)/MAX(SUMPRODUCT(MAX((Offerte!$C$2:$C$200=$I64)*(IFERROR(Offerte!$D$2:$D$200*1,0)=1)*(IFERROR(Offerte!$E$2:$E$200*1,0)&gt;=Parametri!$B$2)*IFERROR(Offerte!$F$2:$F$200*1,0))),SUMPRODUCT(MAX(($H$5:$H$80=$I64)*($N$5:$N$80="SI")*IFERROR($E$5:$E$80*1,0))),SUMPRODUCT(MAX(($I$5:$I$80=$I64)*($N$5:$N$80="SI")*IFERROR($E$5:$E$80*1,0))))),0),0)</f>
        <v/>
      </c>
      <c r="Q64" s="21">
        <f>IF($N64="SI",ROUND($L64+$M64+$O64+$P64,4),0)</f>
        <v/>
      </c>
      <c r="R64" s="21">
        <f>IF($A64="","",IF(IFERROR(VALUE($D64),0)&lt;&gt;1,"Non attiva",IF(OR(IFERROR(VALUE($J64),0)&lt;&gt;1,IFERROR(VALUE($K64),0)&lt;&gt;1),"Singoli non attivi",IF(OR(IFERROR(VALUE($L64),0)&lt;Parametri!$B$2,IFERROR(VALUE($M64),0)&lt;Parametri!$B$2),"Soglia non superata",IF(OR(IFERROR(VALUE($F64),0)&lt;&gt;1,IFERROR(VALUE($G64),0)&lt;&gt;1),"Buste/PEF non confermati",IF(IFERROR(VALUE($E64),0)&lt;=$U64,"Ribasso non migliorativo",""))))))</f>
        <v/>
      </c>
      <c r="S64" s="21">
        <f>IF($H64="","",IFERROR(INDEX(Offerte!$F$2:$F$200,MATCH($A64&amp;"|"&amp;$H64,Offerte!$L$2:$L$200,0)),0))</f>
        <v/>
      </c>
      <c r="T64" s="21">
        <f>IF($I64="","",IFERROR(INDEX(Offerte!$F$2:$F$200,MATCH($A64&amp;"|"&amp;$I64,Offerte!$L$2:$L$200,0)),0))</f>
        <v/>
      </c>
      <c r="U64" s="21">
        <f>IF($A64="","",ROUND((IFERROR(VALUE($S64),0)+IFERROR(VALUE($T64),0))/2,4))</f>
        <v/>
      </c>
      <c r="V64" s="21">
        <f>IF($A64="","",$C64&amp;"|"&amp;TEXT($Q64,"0.0000"))</f>
        <v/>
      </c>
      <c r="W64" s="21">
        <f>IF($A64="","",$C64&amp;"|"&amp;$A64)</f>
        <v/>
      </c>
    </row>
    <row r="65">
      <c r="A65" s="20" t="n"/>
      <c r="B65" s="20">
        <f>IF($A65="","",IFERROR(INDEX(Offerte!$B$2:$B$200,MATCH($A65,Offerte!$A$2:$A$200,0)),""))</f>
        <v/>
      </c>
      <c r="C65" s="20" t="n"/>
      <c r="D65" s="20" t="n"/>
      <c r="E65" s="20" t="n"/>
      <c r="F65" s="20" t="n"/>
      <c r="G65" s="20" t="n"/>
      <c r="H65" s="21">
        <f>IF($C65="L1+L2","L1",IF($C65="L2+L3","L2",IF($C65="L3+L4","L3",IF($C65="L1+L4","L1",""))))</f>
        <v/>
      </c>
      <c r="I65" s="21">
        <f>IF($C65="L1+L2","L2",IF($C65="L2+L3","L3",IF($C65="L3+L4","L4",IF($C65="L1+L4","L4",""))))</f>
        <v/>
      </c>
      <c r="J65" s="21">
        <f>IF($H65="","",IFERROR(INDEX(Offerte!$D$2:$D$200,MATCH($A65&amp;"|"&amp;$H65,Offerte!$L$2:$L$200,0)),0))</f>
        <v/>
      </c>
      <c r="K65" s="21">
        <f>IF($I65="","",IFERROR(INDEX(Offerte!$D$2:$D$200,MATCH($A65&amp;"|"&amp;$I65,Offerte!$L$2:$L$200,0)),0))</f>
        <v/>
      </c>
      <c r="L65" s="21">
        <f>IF($H65="","",IFERROR(INDEX(Offerte!$E$2:$E$200,MATCH($A65&amp;"|"&amp;$H65,Offerte!$L$2:$L$200,0)),0))</f>
        <v/>
      </c>
      <c r="M65" s="21">
        <f>IF($I65="","",IFERROR(INDEX(Offerte!$E$2:$E$200,MATCH($A65&amp;"|"&amp;$I65,Offerte!$L$2:$L$200,0)),0))</f>
        <v/>
      </c>
      <c r="N65" s="21">
        <f>IF($A65="","",IF(IFERROR(VALUE($D65),0)&lt;&gt;1,"NO",IF(AND(IFERROR(VALUE($J65),0)=1,IFERROR(VALUE($K65),0)=1,IFERROR(VALUE($L65),0)&gt;=Parametri!$B$2,IFERROR(VALUE($M65),0)&gt;=Parametri!$B$2,IFERROR(VALUE($F65),0)=1,IFERROR(VALUE($G65),0)=1,IFERROR(VALUE($E65),0)&gt;$U65),"SI","NO")))</f>
        <v/>
      </c>
      <c r="O65" s="21">
        <f>IF($N65="SI",IFERROR(30*(IFERROR(VALUE($E65),0)/MAX(SUMPRODUCT(MAX((Offerte!$C$2:$C$200=$H65)*(IFERROR(Offerte!$D$2:$D$200*1,0)=1)*(IFERROR(Offerte!$E$2:$E$200*1,0)&gt;=Parametri!$B$2)*IFERROR(Offerte!$F$2:$F$200*1,0))),SUMPRODUCT(MAX(($H$5:$H$80=$H65)*($N$5:$N$80="SI")*IFERROR($E$5:$E$80*1,0))),SUMPRODUCT(MAX(($I$5:$I$80=$H65)*($N$5:$N$80="SI")*IFERROR($E$5:$E$80*1,0))))),0),0)</f>
        <v/>
      </c>
      <c r="P65" s="21">
        <f>IF($N65="SI",IFERROR(30*(IFERROR(VALUE($E65),0)/MAX(SUMPRODUCT(MAX((Offerte!$C$2:$C$200=$I65)*(IFERROR(Offerte!$D$2:$D$200*1,0)=1)*(IFERROR(Offerte!$E$2:$E$200*1,0)&gt;=Parametri!$B$2)*IFERROR(Offerte!$F$2:$F$200*1,0))),SUMPRODUCT(MAX(($H$5:$H$80=$I65)*($N$5:$N$80="SI")*IFERROR($E$5:$E$80*1,0))),SUMPRODUCT(MAX(($I$5:$I$80=$I65)*($N$5:$N$80="SI")*IFERROR($E$5:$E$80*1,0))))),0),0)</f>
        <v/>
      </c>
      <c r="Q65" s="21">
        <f>IF($N65="SI",ROUND($L65+$M65+$O65+$P65,4),0)</f>
        <v/>
      </c>
      <c r="R65" s="21">
        <f>IF($A65="","",IF(IFERROR(VALUE($D65),0)&lt;&gt;1,"Non attiva",IF(OR(IFERROR(VALUE($J65),0)&lt;&gt;1,IFERROR(VALUE($K65),0)&lt;&gt;1),"Singoli non attivi",IF(OR(IFERROR(VALUE($L65),0)&lt;Parametri!$B$2,IFERROR(VALUE($M65),0)&lt;Parametri!$B$2),"Soglia non superata",IF(OR(IFERROR(VALUE($F65),0)&lt;&gt;1,IFERROR(VALUE($G65),0)&lt;&gt;1),"Buste/PEF non confermati",IF(IFERROR(VALUE($E65),0)&lt;=$U65,"Ribasso non migliorativo",""))))))</f>
        <v/>
      </c>
      <c r="S65" s="21">
        <f>IF($H65="","",IFERROR(INDEX(Offerte!$F$2:$F$200,MATCH($A65&amp;"|"&amp;$H65,Offerte!$L$2:$L$200,0)),0))</f>
        <v/>
      </c>
      <c r="T65" s="21">
        <f>IF($I65="","",IFERROR(INDEX(Offerte!$F$2:$F$200,MATCH($A65&amp;"|"&amp;$I65,Offerte!$L$2:$L$200,0)),0))</f>
        <v/>
      </c>
      <c r="U65" s="21">
        <f>IF($A65="","",ROUND((IFERROR(VALUE($S65),0)+IFERROR(VALUE($T65),0))/2,4))</f>
        <v/>
      </c>
      <c r="V65" s="21">
        <f>IF($A65="","",$C65&amp;"|"&amp;TEXT($Q65,"0.0000"))</f>
        <v/>
      </c>
      <c r="W65" s="21">
        <f>IF($A65="","",$C65&amp;"|"&amp;$A65)</f>
        <v/>
      </c>
    </row>
    <row r="66">
      <c r="A66" s="20" t="n"/>
      <c r="B66" s="20">
        <f>IF($A66="","",IFERROR(INDEX(Offerte!$B$2:$B$200,MATCH($A66,Offerte!$A$2:$A$200,0)),""))</f>
        <v/>
      </c>
      <c r="C66" s="20" t="n"/>
      <c r="D66" s="20" t="n"/>
      <c r="E66" s="20" t="n"/>
      <c r="F66" s="20" t="n"/>
      <c r="G66" s="20" t="n"/>
      <c r="H66" s="21">
        <f>IF($C66="L1+L2","L1",IF($C66="L2+L3","L2",IF($C66="L3+L4","L3",IF($C66="L1+L4","L1",""))))</f>
        <v/>
      </c>
      <c r="I66" s="21">
        <f>IF($C66="L1+L2","L2",IF($C66="L2+L3","L3",IF($C66="L3+L4","L4",IF($C66="L1+L4","L4",""))))</f>
        <v/>
      </c>
      <c r="J66" s="21">
        <f>IF($H66="","",IFERROR(INDEX(Offerte!$D$2:$D$200,MATCH($A66&amp;"|"&amp;$H66,Offerte!$L$2:$L$200,0)),0))</f>
        <v/>
      </c>
      <c r="K66" s="21">
        <f>IF($I66="","",IFERROR(INDEX(Offerte!$D$2:$D$200,MATCH($A66&amp;"|"&amp;$I66,Offerte!$L$2:$L$200,0)),0))</f>
        <v/>
      </c>
      <c r="L66" s="21">
        <f>IF($H66="","",IFERROR(INDEX(Offerte!$E$2:$E$200,MATCH($A66&amp;"|"&amp;$H66,Offerte!$L$2:$L$200,0)),0))</f>
        <v/>
      </c>
      <c r="M66" s="21">
        <f>IF($I66="","",IFERROR(INDEX(Offerte!$E$2:$E$200,MATCH($A66&amp;"|"&amp;$I66,Offerte!$L$2:$L$200,0)),0))</f>
        <v/>
      </c>
      <c r="N66" s="21">
        <f>IF($A66="","",IF(IFERROR(VALUE($D66),0)&lt;&gt;1,"NO",IF(AND(IFERROR(VALUE($J66),0)=1,IFERROR(VALUE($K66),0)=1,IFERROR(VALUE($L66),0)&gt;=Parametri!$B$2,IFERROR(VALUE($M66),0)&gt;=Parametri!$B$2,IFERROR(VALUE($F66),0)=1,IFERROR(VALUE($G66),0)=1,IFERROR(VALUE($E66),0)&gt;$U66),"SI","NO")))</f>
        <v/>
      </c>
      <c r="O66" s="21">
        <f>IF($N66="SI",IFERROR(30*(IFERROR(VALUE($E66),0)/MAX(SUMPRODUCT(MAX((Offerte!$C$2:$C$200=$H66)*(IFERROR(Offerte!$D$2:$D$200*1,0)=1)*(IFERROR(Offerte!$E$2:$E$200*1,0)&gt;=Parametri!$B$2)*IFERROR(Offerte!$F$2:$F$200*1,0))),SUMPRODUCT(MAX(($H$5:$H$80=$H66)*($N$5:$N$80="SI")*IFERROR($E$5:$E$80*1,0))),SUMPRODUCT(MAX(($I$5:$I$80=$H66)*($N$5:$N$80="SI")*IFERROR($E$5:$E$80*1,0))))),0),0)</f>
        <v/>
      </c>
      <c r="P66" s="21">
        <f>IF($N66="SI",IFERROR(30*(IFERROR(VALUE($E66),0)/MAX(SUMPRODUCT(MAX((Offerte!$C$2:$C$200=$I66)*(IFERROR(Offerte!$D$2:$D$200*1,0)=1)*(IFERROR(Offerte!$E$2:$E$200*1,0)&gt;=Parametri!$B$2)*IFERROR(Offerte!$F$2:$F$200*1,0))),SUMPRODUCT(MAX(($H$5:$H$80=$I66)*($N$5:$N$80="SI")*IFERROR($E$5:$E$80*1,0))),SUMPRODUCT(MAX(($I$5:$I$80=$I66)*($N$5:$N$80="SI")*IFERROR($E$5:$E$80*1,0))))),0),0)</f>
        <v/>
      </c>
      <c r="Q66" s="21">
        <f>IF($N66="SI",ROUND($L66+$M66+$O66+$P66,4),0)</f>
        <v/>
      </c>
      <c r="R66" s="21">
        <f>IF($A66="","",IF(IFERROR(VALUE($D66),0)&lt;&gt;1,"Non attiva",IF(OR(IFERROR(VALUE($J66),0)&lt;&gt;1,IFERROR(VALUE($K66),0)&lt;&gt;1),"Singoli non attivi",IF(OR(IFERROR(VALUE($L66),0)&lt;Parametri!$B$2,IFERROR(VALUE($M66),0)&lt;Parametri!$B$2),"Soglia non superata",IF(OR(IFERROR(VALUE($F66),0)&lt;&gt;1,IFERROR(VALUE($G66),0)&lt;&gt;1),"Buste/PEF non confermati",IF(IFERROR(VALUE($E66),0)&lt;=$U66,"Ribasso non migliorativo",""))))))</f>
        <v/>
      </c>
      <c r="S66" s="21">
        <f>IF($H66="","",IFERROR(INDEX(Offerte!$F$2:$F$200,MATCH($A66&amp;"|"&amp;$H66,Offerte!$L$2:$L$200,0)),0))</f>
        <v/>
      </c>
      <c r="T66" s="21">
        <f>IF($I66="","",IFERROR(INDEX(Offerte!$F$2:$F$200,MATCH($A66&amp;"|"&amp;$I66,Offerte!$L$2:$L$200,0)),0))</f>
        <v/>
      </c>
      <c r="U66" s="21">
        <f>IF($A66="","",ROUND((IFERROR(VALUE($S66),0)+IFERROR(VALUE($T66),0))/2,4))</f>
        <v/>
      </c>
      <c r="V66" s="21">
        <f>IF($A66="","",$C66&amp;"|"&amp;TEXT($Q66,"0.0000"))</f>
        <v/>
      </c>
      <c r="W66" s="21">
        <f>IF($A66="","",$C66&amp;"|"&amp;$A66)</f>
        <v/>
      </c>
    </row>
    <row r="67">
      <c r="A67" s="20" t="n"/>
      <c r="B67" s="20">
        <f>IF($A67="","",IFERROR(INDEX(Offerte!$B$2:$B$200,MATCH($A67,Offerte!$A$2:$A$200,0)),""))</f>
        <v/>
      </c>
      <c r="C67" s="20" t="n"/>
      <c r="D67" s="20" t="n"/>
      <c r="E67" s="20" t="n"/>
      <c r="F67" s="20" t="n"/>
      <c r="G67" s="20" t="n"/>
      <c r="H67" s="21">
        <f>IF($C67="L1+L2","L1",IF($C67="L2+L3","L2",IF($C67="L3+L4","L3",IF($C67="L1+L4","L1",""))))</f>
        <v/>
      </c>
      <c r="I67" s="21">
        <f>IF($C67="L1+L2","L2",IF($C67="L2+L3","L3",IF($C67="L3+L4","L4",IF($C67="L1+L4","L4",""))))</f>
        <v/>
      </c>
      <c r="J67" s="21">
        <f>IF($H67="","",IFERROR(INDEX(Offerte!$D$2:$D$200,MATCH($A67&amp;"|"&amp;$H67,Offerte!$L$2:$L$200,0)),0))</f>
        <v/>
      </c>
      <c r="K67" s="21">
        <f>IF($I67="","",IFERROR(INDEX(Offerte!$D$2:$D$200,MATCH($A67&amp;"|"&amp;$I67,Offerte!$L$2:$L$200,0)),0))</f>
        <v/>
      </c>
      <c r="L67" s="21">
        <f>IF($H67="","",IFERROR(INDEX(Offerte!$E$2:$E$200,MATCH($A67&amp;"|"&amp;$H67,Offerte!$L$2:$L$200,0)),0))</f>
        <v/>
      </c>
      <c r="M67" s="21">
        <f>IF($I67="","",IFERROR(INDEX(Offerte!$E$2:$E$200,MATCH($A67&amp;"|"&amp;$I67,Offerte!$L$2:$L$200,0)),0))</f>
        <v/>
      </c>
      <c r="N67" s="21">
        <f>IF($A67="","",IF(IFERROR(VALUE($D67),0)&lt;&gt;1,"NO",IF(AND(IFERROR(VALUE($J67),0)=1,IFERROR(VALUE($K67),0)=1,IFERROR(VALUE($L67),0)&gt;=Parametri!$B$2,IFERROR(VALUE($M67),0)&gt;=Parametri!$B$2,IFERROR(VALUE($F67),0)=1,IFERROR(VALUE($G67),0)=1,IFERROR(VALUE($E67),0)&gt;$U67),"SI","NO")))</f>
        <v/>
      </c>
      <c r="O67" s="21">
        <f>IF($N67="SI",IFERROR(30*(IFERROR(VALUE($E67),0)/MAX(SUMPRODUCT(MAX((Offerte!$C$2:$C$200=$H67)*(IFERROR(Offerte!$D$2:$D$200*1,0)=1)*(IFERROR(Offerte!$E$2:$E$200*1,0)&gt;=Parametri!$B$2)*IFERROR(Offerte!$F$2:$F$200*1,0))),SUMPRODUCT(MAX(($H$5:$H$80=$H67)*($N$5:$N$80="SI")*IFERROR($E$5:$E$80*1,0))),SUMPRODUCT(MAX(($I$5:$I$80=$H67)*($N$5:$N$80="SI")*IFERROR($E$5:$E$80*1,0))))),0),0)</f>
        <v/>
      </c>
      <c r="P67" s="21">
        <f>IF($N67="SI",IFERROR(30*(IFERROR(VALUE($E67),0)/MAX(SUMPRODUCT(MAX((Offerte!$C$2:$C$200=$I67)*(IFERROR(Offerte!$D$2:$D$200*1,0)=1)*(IFERROR(Offerte!$E$2:$E$200*1,0)&gt;=Parametri!$B$2)*IFERROR(Offerte!$F$2:$F$200*1,0))),SUMPRODUCT(MAX(($H$5:$H$80=$I67)*($N$5:$N$80="SI")*IFERROR($E$5:$E$80*1,0))),SUMPRODUCT(MAX(($I$5:$I$80=$I67)*($N$5:$N$80="SI")*IFERROR($E$5:$E$80*1,0))))),0),0)</f>
        <v/>
      </c>
      <c r="Q67" s="21">
        <f>IF($N67="SI",ROUND($L67+$M67+$O67+$P67,4),0)</f>
        <v/>
      </c>
      <c r="R67" s="21">
        <f>IF($A67="","",IF(IFERROR(VALUE($D67),0)&lt;&gt;1,"Non attiva",IF(OR(IFERROR(VALUE($J67),0)&lt;&gt;1,IFERROR(VALUE($K67),0)&lt;&gt;1),"Singoli non attivi",IF(OR(IFERROR(VALUE($L67),0)&lt;Parametri!$B$2,IFERROR(VALUE($M67),0)&lt;Parametri!$B$2),"Soglia non superata",IF(OR(IFERROR(VALUE($F67),0)&lt;&gt;1,IFERROR(VALUE($G67),0)&lt;&gt;1),"Buste/PEF non confermati",IF(IFERROR(VALUE($E67),0)&lt;=$U67,"Ribasso non migliorativo",""))))))</f>
        <v/>
      </c>
      <c r="S67" s="21">
        <f>IF($H67="","",IFERROR(INDEX(Offerte!$F$2:$F$200,MATCH($A67&amp;"|"&amp;$H67,Offerte!$L$2:$L$200,0)),0))</f>
        <v/>
      </c>
      <c r="T67" s="21">
        <f>IF($I67="","",IFERROR(INDEX(Offerte!$F$2:$F$200,MATCH($A67&amp;"|"&amp;$I67,Offerte!$L$2:$L$200,0)),0))</f>
        <v/>
      </c>
      <c r="U67" s="21">
        <f>IF($A67="","",ROUND((IFERROR(VALUE($S67),0)+IFERROR(VALUE($T67),0))/2,4))</f>
        <v/>
      </c>
      <c r="V67" s="21">
        <f>IF($A67="","",$C67&amp;"|"&amp;TEXT($Q67,"0.0000"))</f>
        <v/>
      </c>
      <c r="W67" s="21">
        <f>IF($A67="","",$C67&amp;"|"&amp;$A67)</f>
        <v/>
      </c>
    </row>
    <row r="68">
      <c r="A68" s="20" t="n"/>
      <c r="B68" s="20">
        <f>IF($A68="","",IFERROR(INDEX(Offerte!$B$2:$B$200,MATCH($A68,Offerte!$A$2:$A$200,0)),""))</f>
        <v/>
      </c>
      <c r="C68" s="20" t="n"/>
      <c r="D68" s="20" t="n"/>
      <c r="E68" s="20" t="n"/>
      <c r="F68" s="20" t="n"/>
      <c r="G68" s="20" t="n"/>
      <c r="H68" s="21">
        <f>IF($C68="L1+L2","L1",IF($C68="L2+L3","L2",IF($C68="L3+L4","L3",IF($C68="L1+L4","L1",""))))</f>
        <v/>
      </c>
      <c r="I68" s="21">
        <f>IF($C68="L1+L2","L2",IF($C68="L2+L3","L3",IF($C68="L3+L4","L4",IF($C68="L1+L4","L4",""))))</f>
        <v/>
      </c>
      <c r="J68" s="21">
        <f>IF($H68="","",IFERROR(INDEX(Offerte!$D$2:$D$200,MATCH($A68&amp;"|"&amp;$H68,Offerte!$L$2:$L$200,0)),0))</f>
        <v/>
      </c>
      <c r="K68" s="21">
        <f>IF($I68="","",IFERROR(INDEX(Offerte!$D$2:$D$200,MATCH($A68&amp;"|"&amp;$I68,Offerte!$L$2:$L$200,0)),0))</f>
        <v/>
      </c>
      <c r="L68" s="21">
        <f>IF($H68="","",IFERROR(INDEX(Offerte!$E$2:$E$200,MATCH($A68&amp;"|"&amp;$H68,Offerte!$L$2:$L$200,0)),0))</f>
        <v/>
      </c>
      <c r="M68" s="21">
        <f>IF($I68="","",IFERROR(INDEX(Offerte!$E$2:$E$200,MATCH($A68&amp;"|"&amp;$I68,Offerte!$L$2:$L$200,0)),0))</f>
        <v/>
      </c>
      <c r="N68" s="21">
        <f>IF($A68="","",IF(IFERROR(VALUE($D68),0)&lt;&gt;1,"NO",IF(AND(IFERROR(VALUE($J68),0)=1,IFERROR(VALUE($K68),0)=1,IFERROR(VALUE($L68),0)&gt;=Parametri!$B$2,IFERROR(VALUE($M68),0)&gt;=Parametri!$B$2,IFERROR(VALUE($F68),0)=1,IFERROR(VALUE($G68),0)=1,IFERROR(VALUE($E68),0)&gt;$U68),"SI","NO")))</f>
        <v/>
      </c>
      <c r="O68" s="21">
        <f>IF($N68="SI",IFERROR(30*(IFERROR(VALUE($E68),0)/MAX(SUMPRODUCT(MAX((Offerte!$C$2:$C$200=$H68)*(IFERROR(Offerte!$D$2:$D$200*1,0)=1)*(IFERROR(Offerte!$E$2:$E$200*1,0)&gt;=Parametri!$B$2)*IFERROR(Offerte!$F$2:$F$200*1,0))),SUMPRODUCT(MAX(($H$5:$H$80=$H68)*($N$5:$N$80="SI")*IFERROR($E$5:$E$80*1,0))),SUMPRODUCT(MAX(($I$5:$I$80=$H68)*($N$5:$N$80="SI")*IFERROR($E$5:$E$80*1,0))))),0),0)</f>
        <v/>
      </c>
      <c r="P68" s="21">
        <f>IF($N68="SI",IFERROR(30*(IFERROR(VALUE($E68),0)/MAX(SUMPRODUCT(MAX((Offerte!$C$2:$C$200=$I68)*(IFERROR(Offerte!$D$2:$D$200*1,0)=1)*(IFERROR(Offerte!$E$2:$E$200*1,0)&gt;=Parametri!$B$2)*IFERROR(Offerte!$F$2:$F$200*1,0))),SUMPRODUCT(MAX(($H$5:$H$80=$I68)*($N$5:$N$80="SI")*IFERROR($E$5:$E$80*1,0))),SUMPRODUCT(MAX(($I$5:$I$80=$I68)*($N$5:$N$80="SI")*IFERROR($E$5:$E$80*1,0))))),0),0)</f>
        <v/>
      </c>
      <c r="Q68" s="21">
        <f>IF($N68="SI",ROUND($L68+$M68+$O68+$P68,4),0)</f>
        <v/>
      </c>
      <c r="R68" s="21">
        <f>IF($A68="","",IF(IFERROR(VALUE($D68),0)&lt;&gt;1,"Non attiva",IF(OR(IFERROR(VALUE($J68),0)&lt;&gt;1,IFERROR(VALUE($K68),0)&lt;&gt;1),"Singoli non attivi",IF(OR(IFERROR(VALUE($L68),0)&lt;Parametri!$B$2,IFERROR(VALUE($M68),0)&lt;Parametri!$B$2),"Soglia non superata",IF(OR(IFERROR(VALUE($F68),0)&lt;&gt;1,IFERROR(VALUE($G68),0)&lt;&gt;1),"Buste/PEF non confermati",IF(IFERROR(VALUE($E68),0)&lt;=$U68,"Ribasso non migliorativo",""))))))</f>
        <v/>
      </c>
      <c r="S68" s="21">
        <f>IF($H68="","",IFERROR(INDEX(Offerte!$F$2:$F$200,MATCH($A68&amp;"|"&amp;$H68,Offerte!$L$2:$L$200,0)),0))</f>
        <v/>
      </c>
      <c r="T68" s="21">
        <f>IF($I68="","",IFERROR(INDEX(Offerte!$F$2:$F$200,MATCH($A68&amp;"|"&amp;$I68,Offerte!$L$2:$L$200,0)),0))</f>
        <v/>
      </c>
      <c r="U68" s="21">
        <f>IF($A68="","",ROUND((IFERROR(VALUE($S68),0)+IFERROR(VALUE($T68),0))/2,4))</f>
        <v/>
      </c>
      <c r="V68" s="21">
        <f>IF($A68="","",$C68&amp;"|"&amp;TEXT($Q68,"0.0000"))</f>
        <v/>
      </c>
      <c r="W68" s="21">
        <f>IF($A68="","",$C68&amp;"|"&amp;$A68)</f>
        <v/>
      </c>
    </row>
    <row r="69">
      <c r="A69" s="20" t="n"/>
      <c r="B69" s="20">
        <f>IF($A69="","",IFERROR(INDEX(Offerte!$B$2:$B$200,MATCH($A69,Offerte!$A$2:$A$200,0)),""))</f>
        <v/>
      </c>
      <c r="C69" s="20" t="n"/>
      <c r="D69" s="20" t="n"/>
      <c r="E69" s="20" t="n"/>
      <c r="F69" s="20" t="n"/>
      <c r="G69" s="20" t="n"/>
      <c r="H69" s="21">
        <f>IF($C69="L1+L2","L1",IF($C69="L2+L3","L2",IF($C69="L3+L4","L3",IF($C69="L1+L4","L1",""))))</f>
        <v/>
      </c>
      <c r="I69" s="21">
        <f>IF($C69="L1+L2","L2",IF($C69="L2+L3","L3",IF($C69="L3+L4","L4",IF($C69="L1+L4","L4",""))))</f>
        <v/>
      </c>
      <c r="J69" s="21">
        <f>IF($H69="","",IFERROR(INDEX(Offerte!$D$2:$D$200,MATCH($A69&amp;"|"&amp;$H69,Offerte!$L$2:$L$200,0)),0))</f>
        <v/>
      </c>
      <c r="K69" s="21">
        <f>IF($I69="","",IFERROR(INDEX(Offerte!$D$2:$D$200,MATCH($A69&amp;"|"&amp;$I69,Offerte!$L$2:$L$200,0)),0))</f>
        <v/>
      </c>
      <c r="L69" s="21">
        <f>IF($H69="","",IFERROR(INDEX(Offerte!$E$2:$E$200,MATCH($A69&amp;"|"&amp;$H69,Offerte!$L$2:$L$200,0)),0))</f>
        <v/>
      </c>
      <c r="M69" s="21">
        <f>IF($I69="","",IFERROR(INDEX(Offerte!$E$2:$E$200,MATCH($A69&amp;"|"&amp;$I69,Offerte!$L$2:$L$200,0)),0))</f>
        <v/>
      </c>
      <c r="N69" s="21">
        <f>IF($A69="","",IF(IFERROR(VALUE($D69),0)&lt;&gt;1,"NO",IF(AND(IFERROR(VALUE($J69),0)=1,IFERROR(VALUE($K69),0)=1,IFERROR(VALUE($L69),0)&gt;=Parametri!$B$2,IFERROR(VALUE($M69),0)&gt;=Parametri!$B$2,IFERROR(VALUE($F69),0)=1,IFERROR(VALUE($G69),0)=1,IFERROR(VALUE($E69),0)&gt;$U69),"SI","NO")))</f>
        <v/>
      </c>
      <c r="O69" s="21">
        <f>IF($N69="SI",IFERROR(30*(IFERROR(VALUE($E69),0)/MAX(SUMPRODUCT(MAX((Offerte!$C$2:$C$200=$H69)*(IFERROR(Offerte!$D$2:$D$200*1,0)=1)*(IFERROR(Offerte!$E$2:$E$200*1,0)&gt;=Parametri!$B$2)*IFERROR(Offerte!$F$2:$F$200*1,0))),SUMPRODUCT(MAX(($H$5:$H$80=$H69)*($N$5:$N$80="SI")*IFERROR($E$5:$E$80*1,0))),SUMPRODUCT(MAX(($I$5:$I$80=$H69)*($N$5:$N$80="SI")*IFERROR($E$5:$E$80*1,0))))),0),0)</f>
        <v/>
      </c>
      <c r="P69" s="21">
        <f>IF($N69="SI",IFERROR(30*(IFERROR(VALUE($E69),0)/MAX(SUMPRODUCT(MAX((Offerte!$C$2:$C$200=$I69)*(IFERROR(Offerte!$D$2:$D$200*1,0)=1)*(IFERROR(Offerte!$E$2:$E$200*1,0)&gt;=Parametri!$B$2)*IFERROR(Offerte!$F$2:$F$200*1,0))),SUMPRODUCT(MAX(($H$5:$H$80=$I69)*($N$5:$N$80="SI")*IFERROR($E$5:$E$80*1,0))),SUMPRODUCT(MAX(($I$5:$I$80=$I69)*($N$5:$N$80="SI")*IFERROR($E$5:$E$80*1,0))))),0),0)</f>
        <v/>
      </c>
      <c r="Q69" s="21">
        <f>IF($N69="SI",ROUND($L69+$M69+$O69+$P69,4),0)</f>
        <v/>
      </c>
      <c r="R69" s="21">
        <f>IF($A69="","",IF(IFERROR(VALUE($D69),0)&lt;&gt;1,"Non attiva",IF(OR(IFERROR(VALUE($J69),0)&lt;&gt;1,IFERROR(VALUE($K69),0)&lt;&gt;1),"Singoli non attivi",IF(OR(IFERROR(VALUE($L69),0)&lt;Parametri!$B$2,IFERROR(VALUE($M69),0)&lt;Parametri!$B$2),"Soglia non superata",IF(OR(IFERROR(VALUE($F69),0)&lt;&gt;1,IFERROR(VALUE($G69),0)&lt;&gt;1),"Buste/PEF non confermati",IF(IFERROR(VALUE($E69),0)&lt;=$U69,"Ribasso non migliorativo",""))))))</f>
        <v/>
      </c>
      <c r="S69" s="21">
        <f>IF($H69="","",IFERROR(INDEX(Offerte!$F$2:$F$200,MATCH($A69&amp;"|"&amp;$H69,Offerte!$L$2:$L$200,0)),0))</f>
        <v/>
      </c>
      <c r="T69" s="21">
        <f>IF($I69="","",IFERROR(INDEX(Offerte!$F$2:$F$200,MATCH($A69&amp;"|"&amp;$I69,Offerte!$L$2:$L$200,0)),0))</f>
        <v/>
      </c>
      <c r="U69" s="21">
        <f>IF($A69="","",ROUND((IFERROR(VALUE($S69),0)+IFERROR(VALUE($T69),0))/2,4))</f>
        <v/>
      </c>
      <c r="V69" s="21">
        <f>IF($A69="","",$C69&amp;"|"&amp;TEXT($Q69,"0.0000"))</f>
        <v/>
      </c>
      <c r="W69" s="21">
        <f>IF($A69="","",$C69&amp;"|"&amp;$A69)</f>
        <v/>
      </c>
    </row>
    <row r="70">
      <c r="A70" s="20" t="n"/>
      <c r="B70" s="20">
        <f>IF($A70="","",IFERROR(INDEX(Offerte!$B$2:$B$200,MATCH($A70,Offerte!$A$2:$A$200,0)),""))</f>
        <v/>
      </c>
      <c r="C70" s="20" t="n"/>
      <c r="D70" s="20" t="n"/>
      <c r="E70" s="20" t="n"/>
      <c r="F70" s="20" t="n"/>
      <c r="G70" s="20" t="n"/>
      <c r="H70" s="21">
        <f>IF($C70="L1+L2","L1",IF($C70="L2+L3","L2",IF($C70="L3+L4","L3",IF($C70="L1+L4","L1",""))))</f>
        <v/>
      </c>
      <c r="I70" s="21">
        <f>IF($C70="L1+L2","L2",IF($C70="L2+L3","L3",IF($C70="L3+L4","L4",IF($C70="L1+L4","L4",""))))</f>
        <v/>
      </c>
      <c r="J70" s="21">
        <f>IF($H70="","",IFERROR(INDEX(Offerte!$D$2:$D$200,MATCH($A70&amp;"|"&amp;$H70,Offerte!$L$2:$L$200,0)),0))</f>
        <v/>
      </c>
      <c r="K70" s="21">
        <f>IF($I70="","",IFERROR(INDEX(Offerte!$D$2:$D$200,MATCH($A70&amp;"|"&amp;$I70,Offerte!$L$2:$L$200,0)),0))</f>
        <v/>
      </c>
      <c r="L70" s="21">
        <f>IF($H70="","",IFERROR(INDEX(Offerte!$E$2:$E$200,MATCH($A70&amp;"|"&amp;$H70,Offerte!$L$2:$L$200,0)),0))</f>
        <v/>
      </c>
      <c r="M70" s="21">
        <f>IF($I70="","",IFERROR(INDEX(Offerte!$E$2:$E$200,MATCH($A70&amp;"|"&amp;$I70,Offerte!$L$2:$L$200,0)),0))</f>
        <v/>
      </c>
      <c r="N70" s="21">
        <f>IF($A70="","",IF(IFERROR(VALUE($D70),0)&lt;&gt;1,"NO",IF(AND(IFERROR(VALUE($J70),0)=1,IFERROR(VALUE($K70),0)=1,IFERROR(VALUE($L70),0)&gt;=Parametri!$B$2,IFERROR(VALUE($M70),0)&gt;=Parametri!$B$2,IFERROR(VALUE($F70),0)=1,IFERROR(VALUE($G70),0)=1,IFERROR(VALUE($E70),0)&gt;$U70),"SI","NO")))</f>
        <v/>
      </c>
      <c r="O70" s="21">
        <f>IF($N70="SI",IFERROR(30*(IFERROR(VALUE($E70),0)/MAX(SUMPRODUCT(MAX((Offerte!$C$2:$C$200=$H70)*(IFERROR(Offerte!$D$2:$D$200*1,0)=1)*(IFERROR(Offerte!$E$2:$E$200*1,0)&gt;=Parametri!$B$2)*IFERROR(Offerte!$F$2:$F$200*1,0))),SUMPRODUCT(MAX(($H$5:$H$80=$H70)*($N$5:$N$80="SI")*IFERROR($E$5:$E$80*1,0))),SUMPRODUCT(MAX(($I$5:$I$80=$H70)*($N$5:$N$80="SI")*IFERROR($E$5:$E$80*1,0))))),0),0)</f>
        <v/>
      </c>
      <c r="P70" s="21">
        <f>IF($N70="SI",IFERROR(30*(IFERROR(VALUE($E70),0)/MAX(SUMPRODUCT(MAX((Offerte!$C$2:$C$200=$I70)*(IFERROR(Offerte!$D$2:$D$200*1,0)=1)*(IFERROR(Offerte!$E$2:$E$200*1,0)&gt;=Parametri!$B$2)*IFERROR(Offerte!$F$2:$F$200*1,0))),SUMPRODUCT(MAX(($H$5:$H$80=$I70)*($N$5:$N$80="SI")*IFERROR($E$5:$E$80*1,0))),SUMPRODUCT(MAX(($I$5:$I$80=$I70)*($N$5:$N$80="SI")*IFERROR($E$5:$E$80*1,0))))),0),0)</f>
        <v/>
      </c>
      <c r="Q70" s="21">
        <f>IF($N70="SI",ROUND($L70+$M70+$O70+$P70,4),0)</f>
        <v/>
      </c>
      <c r="R70" s="21">
        <f>IF($A70="","",IF(IFERROR(VALUE($D70),0)&lt;&gt;1,"Non attiva",IF(OR(IFERROR(VALUE($J70),0)&lt;&gt;1,IFERROR(VALUE($K70),0)&lt;&gt;1),"Singoli non attivi",IF(OR(IFERROR(VALUE($L70),0)&lt;Parametri!$B$2,IFERROR(VALUE($M70),0)&lt;Parametri!$B$2),"Soglia non superata",IF(OR(IFERROR(VALUE($F70),0)&lt;&gt;1,IFERROR(VALUE($G70),0)&lt;&gt;1),"Buste/PEF non confermati",IF(IFERROR(VALUE($E70),0)&lt;=$U70,"Ribasso non migliorativo",""))))))</f>
        <v/>
      </c>
      <c r="S70" s="21">
        <f>IF($H70="","",IFERROR(INDEX(Offerte!$F$2:$F$200,MATCH($A70&amp;"|"&amp;$H70,Offerte!$L$2:$L$200,0)),0))</f>
        <v/>
      </c>
      <c r="T70" s="21">
        <f>IF($I70="","",IFERROR(INDEX(Offerte!$F$2:$F$200,MATCH($A70&amp;"|"&amp;$I70,Offerte!$L$2:$L$200,0)),0))</f>
        <v/>
      </c>
      <c r="U70" s="21">
        <f>IF($A70="","",ROUND((IFERROR(VALUE($S70),0)+IFERROR(VALUE($T70),0))/2,4))</f>
        <v/>
      </c>
      <c r="V70" s="21">
        <f>IF($A70="","",$C70&amp;"|"&amp;TEXT($Q70,"0.0000"))</f>
        <v/>
      </c>
      <c r="W70" s="21">
        <f>IF($A70="","",$C70&amp;"|"&amp;$A70)</f>
        <v/>
      </c>
    </row>
    <row r="71">
      <c r="A71" s="20" t="n"/>
      <c r="B71" s="20">
        <f>IF($A71="","",IFERROR(INDEX(Offerte!$B$2:$B$200,MATCH($A71,Offerte!$A$2:$A$200,0)),""))</f>
        <v/>
      </c>
      <c r="C71" s="20" t="n"/>
      <c r="D71" s="20" t="n"/>
      <c r="E71" s="20" t="n"/>
      <c r="F71" s="20" t="n"/>
      <c r="G71" s="20" t="n"/>
      <c r="H71" s="21">
        <f>IF($C71="L1+L2","L1",IF($C71="L2+L3","L2",IF($C71="L3+L4","L3",IF($C71="L1+L4","L1",""))))</f>
        <v/>
      </c>
      <c r="I71" s="21">
        <f>IF($C71="L1+L2","L2",IF($C71="L2+L3","L3",IF($C71="L3+L4","L4",IF($C71="L1+L4","L4",""))))</f>
        <v/>
      </c>
      <c r="J71" s="21">
        <f>IF($H71="","",IFERROR(INDEX(Offerte!$D$2:$D$200,MATCH($A71&amp;"|"&amp;$H71,Offerte!$L$2:$L$200,0)),0))</f>
        <v/>
      </c>
      <c r="K71" s="21">
        <f>IF($I71="","",IFERROR(INDEX(Offerte!$D$2:$D$200,MATCH($A71&amp;"|"&amp;$I71,Offerte!$L$2:$L$200,0)),0))</f>
        <v/>
      </c>
      <c r="L71" s="21">
        <f>IF($H71="","",IFERROR(INDEX(Offerte!$E$2:$E$200,MATCH($A71&amp;"|"&amp;$H71,Offerte!$L$2:$L$200,0)),0))</f>
        <v/>
      </c>
      <c r="M71" s="21">
        <f>IF($I71="","",IFERROR(INDEX(Offerte!$E$2:$E$200,MATCH($A71&amp;"|"&amp;$I71,Offerte!$L$2:$L$200,0)),0))</f>
        <v/>
      </c>
      <c r="N71" s="21">
        <f>IF($A71="","",IF(IFERROR(VALUE($D71),0)&lt;&gt;1,"NO",IF(AND(IFERROR(VALUE($J71),0)=1,IFERROR(VALUE($K71),0)=1,IFERROR(VALUE($L71),0)&gt;=Parametri!$B$2,IFERROR(VALUE($M71),0)&gt;=Parametri!$B$2,IFERROR(VALUE($F71),0)=1,IFERROR(VALUE($G71),0)=1,IFERROR(VALUE($E71),0)&gt;$U71),"SI","NO")))</f>
        <v/>
      </c>
      <c r="O71" s="21">
        <f>IF($N71="SI",IFERROR(30*(IFERROR(VALUE($E71),0)/MAX(SUMPRODUCT(MAX((Offerte!$C$2:$C$200=$H71)*(IFERROR(Offerte!$D$2:$D$200*1,0)=1)*(IFERROR(Offerte!$E$2:$E$200*1,0)&gt;=Parametri!$B$2)*IFERROR(Offerte!$F$2:$F$200*1,0))),SUMPRODUCT(MAX(($H$5:$H$80=$H71)*($N$5:$N$80="SI")*IFERROR($E$5:$E$80*1,0))),SUMPRODUCT(MAX(($I$5:$I$80=$H71)*($N$5:$N$80="SI")*IFERROR($E$5:$E$80*1,0))))),0),0)</f>
        <v/>
      </c>
      <c r="P71" s="21">
        <f>IF($N71="SI",IFERROR(30*(IFERROR(VALUE($E71),0)/MAX(SUMPRODUCT(MAX((Offerte!$C$2:$C$200=$I71)*(IFERROR(Offerte!$D$2:$D$200*1,0)=1)*(IFERROR(Offerte!$E$2:$E$200*1,0)&gt;=Parametri!$B$2)*IFERROR(Offerte!$F$2:$F$200*1,0))),SUMPRODUCT(MAX(($H$5:$H$80=$I71)*($N$5:$N$80="SI")*IFERROR($E$5:$E$80*1,0))),SUMPRODUCT(MAX(($I$5:$I$80=$I71)*($N$5:$N$80="SI")*IFERROR($E$5:$E$80*1,0))))),0),0)</f>
        <v/>
      </c>
      <c r="Q71" s="21">
        <f>IF($N71="SI",ROUND($L71+$M71+$O71+$P71,4),0)</f>
        <v/>
      </c>
      <c r="R71" s="21">
        <f>IF($A71="","",IF(IFERROR(VALUE($D71),0)&lt;&gt;1,"Non attiva",IF(OR(IFERROR(VALUE($J71),0)&lt;&gt;1,IFERROR(VALUE($K71),0)&lt;&gt;1),"Singoli non attivi",IF(OR(IFERROR(VALUE($L71),0)&lt;Parametri!$B$2,IFERROR(VALUE($M71),0)&lt;Parametri!$B$2),"Soglia non superata",IF(OR(IFERROR(VALUE($F71),0)&lt;&gt;1,IFERROR(VALUE($G71),0)&lt;&gt;1),"Buste/PEF non confermati",IF(IFERROR(VALUE($E71),0)&lt;=$U71,"Ribasso non migliorativo",""))))))</f>
        <v/>
      </c>
      <c r="S71" s="21">
        <f>IF($H71="","",IFERROR(INDEX(Offerte!$F$2:$F$200,MATCH($A71&amp;"|"&amp;$H71,Offerte!$L$2:$L$200,0)),0))</f>
        <v/>
      </c>
      <c r="T71" s="21">
        <f>IF($I71="","",IFERROR(INDEX(Offerte!$F$2:$F$200,MATCH($A71&amp;"|"&amp;$I71,Offerte!$L$2:$L$200,0)),0))</f>
        <v/>
      </c>
      <c r="U71" s="21">
        <f>IF($A71="","",ROUND((IFERROR(VALUE($S71),0)+IFERROR(VALUE($T71),0))/2,4))</f>
        <v/>
      </c>
      <c r="V71" s="21">
        <f>IF($A71="","",$C71&amp;"|"&amp;TEXT($Q71,"0.0000"))</f>
        <v/>
      </c>
      <c r="W71" s="21">
        <f>IF($A71="","",$C71&amp;"|"&amp;$A71)</f>
        <v/>
      </c>
    </row>
    <row r="72">
      <c r="A72" s="20" t="n"/>
      <c r="B72" s="20">
        <f>IF($A72="","",IFERROR(INDEX(Offerte!$B$2:$B$200,MATCH($A72,Offerte!$A$2:$A$200,0)),""))</f>
        <v/>
      </c>
      <c r="C72" s="20" t="n"/>
      <c r="D72" s="20" t="n"/>
      <c r="E72" s="20" t="n"/>
      <c r="F72" s="20" t="n"/>
      <c r="G72" s="20" t="n"/>
      <c r="H72" s="21">
        <f>IF($C72="L1+L2","L1",IF($C72="L2+L3","L2",IF($C72="L3+L4","L3",IF($C72="L1+L4","L1",""))))</f>
        <v/>
      </c>
      <c r="I72" s="21">
        <f>IF($C72="L1+L2","L2",IF($C72="L2+L3","L3",IF($C72="L3+L4","L4",IF($C72="L1+L4","L4",""))))</f>
        <v/>
      </c>
      <c r="J72" s="21">
        <f>IF($H72="","",IFERROR(INDEX(Offerte!$D$2:$D$200,MATCH($A72&amp;"|"&amp;$H72,Offerte!$L$2:$L$200,0)),0))</f>
        <v/>
      </c>
      <c r="K72" s="21">
        <f>IF($I72="","",IFERROR(INDEX(Offerte!$D$2:$D$200,MATCH($A72&amp;"|"&amp;$I72,Offerte!$L$2:$L$200,0)),0))</f>
        <v/>
      </c>
      <c r="L72" s="21">
        <f>IF($H72="","",IFERROR(INDEX(Offerte!$E$2:$E$200,MATCH($A72&amp;"|"&amp;$H72,Offerte!$L$2:$L$200,0)),0))</f>
        <v/>
      </c>
      <c r="M72" s="21">
        <f>IF($I72="","",IFERROR(INDEX(Offerte!$E$2:$E$200,MATCH($A72&amp;"|"&amp;$I72,Offerte!$L$2:$L$200,0)),0))</f>
        <v/>
      </c>
      <c r="N72" s="21">
        <f>IF($A72="","",IF(IFERROR(VALUE($D72),0)&lt;&gt;1,"NO",IF(AND(IFERROR(VALUE($J72),0)=1,IFERROR(VALUE($K72),0)=1,IFERROR(VALUE($L72),0)&gt;=Parametri!$B$2,IFERROR(VALUE($M72),0)&gt;=Parametri!$B$2,IFERROR(VALUE($F72),0)=1,IFERROR(VALUE($G72),0)=1,IFERROR(VALUE($E72),0)&gt;$U72),"SI","NO")))</f>
        <v/>
      </c>
      <c r="O72" s="21">
        <f>IF($N72="SI",IFERROR(30*(IFERROR(VALUE($E72),0)/MAX(SUMPRODUCT(MAX((Offerte!$C$2:$C$200=$H72)*(IFERROR(Offerte!$D$2:$D$200*1,0)=1)*(IFERROR(Offerte!$E$2:$E$200*1,0)&gt;=Parametri!$B$2)*IFERROR(Offerte!$F$2:$F$200*1,0))),SUMPRODUCT(MAX(($H$5:$H$80=$H72)*($N$5:$N$80="SI")*IFERROR($E$5:$E$80*1,0))),SUMPRODUCT(MAX(($I$5:$I$80=$H72)*($N$5:$N$80="SI")*IFERROR($E$5:$E$80*1,0))))),0),0)</f>
        <v/>
      </c>
      <c r="P72" s="21">
        <f>IF($N72="SI",IFERROR(30*(IFERROR(VALUE($E72),0)/MAX(SUMPRODUCT(MAX((Offerte!$C$2:$C$200=$I72)*(IFERROR(Offerte!$D$2:$D$200*1,0)=1)*(IFERROR(Offerte!$E$2:$E$200*1,0)&gt;=Parametri!$B$2)*IFERROR(Offerte!$F$2:$F$200*1,0))),SUMPRODUCT(MAX(($H$5:$H$80=$I72)*($N$5:$N$80="SI")*IFERROR($E$5:$E$80*1,0))),SUMPRODUCT(MAX(($I$5:$I$80=$I72)*($N$5:$N$80="SI")*IFERROR($E$5:$E$80*1,0))))),0),0)</f>
        <v/>
      </c>
      <c r="Q72" s="21">
        <f>IF($N72="SI",ROUND($L72+$M72+$O72+$P72,4),0)</f>
        <v/>
      </c>
      <c r="R72" s="21">
        <f>IF($A72="","",IF(IFERROR(VALUE($D72),0)&lt;&gt;1,"Non attiva",IF(OR(IFERROR(VALUE($J72),0)&lt;&gt;1,IFERROR(VALUE($K72),0)&lt;&gt;1),"Singoli non attivi",IF(OR(IFERROR(VALUE($L72),0)&lt;Parametri!$B$2,IFERROR(VALUE($M72),0)&lt;Parametri!$B$2),"Soglia non superata",IF(OR(IFERROR(VALUE($F72),0)&lt;&gt;1,IFERROR(VALUE($G72),0)&lt;&gt;1),"Buste/PEF non confermati",IF(IFERROR(VALUE($E72),0)&lt;=$U72,"Ribasso non migliorativo",""))))))</f>
        <v/>
      </c>
      <c r="S72" s="21">
        <f>IF($H72="","",IFERROR(INDEX(Offerte!$F$2:$F$200,MATCH($A72&amp;"|"&amp;$H72,Offerte!$L$2:$L$200,0)),0))</f>
        <v/>
      </c>
      <c r="T72" s="21">
        <f>IF($I72="","",IFERROR(INDEX(Offerte!$F$2:$F$200,MATCH($A72&amp;"|"&amp;$I72,Offerte!$L$2:$L$200,0)),0))</f>
        <v/>
      </c>
      <c r="U72" s="21">
        <f>IF($A72="","",ROUND((IFERROR(VALUE($S72),0)+IFERROR(VALUE($T72),0))/2,4))</f>
        <v/>
      </c>
      <c r="V72" s="21">
        <f>IF($A72="","",$C72&amp;"|"&amp;TEXT($Q72,"0.0000"))</f>
        <v/>
      </c>
      <c r="W72" s="21">
        <f>IF($A72="","",$C72&amp;"|"&amp;$A72)</f>
        <v/>
      </c>
    </row>
    <row r="73">
      <c r="A73" s="20" t="n"/>
      <c r="B73" s="20">
        <f>IF($A73="","",IFERROR(INDEX(Offerte!$B$2:$B$200,MATCH($A73,Offerte!$A$2:$A$200,0)),""))</f>
        <v/>
      </c>
      <c r="C73" s="20" t="n"/>
      <c r="D73" s="20" t="n"/>
      <c r="E73" s="20" t="n"/>
      <c r="F73" s="20" t="n"/>
      <c r="G73" s="20" t="n"/>
      <c r="H73" s="21">
        <f>IF($C73="L1+L2","L1",IF($C73="L2+L3","L2",IF($C73="L3+L4","L3",IF($C73="L1+L4","L1",""))))</f>
        <v/>
      </c>
      <c r="I73" s="21">
        <f>IF($C73="L1+L2","L2",IF($C73="L2+L3","L3",IF($C73="L3+L4","L4",IF($C73="L1+L4","L4",""))))</f>
        <v/>
      </c>
      <c r="J73" s="21">
        <f>IF($H73="","",IFERROR(INDEX(Offerte!$D$2:$D$200,MATCH($A73&amp;"|"&amp;$H73,Offerte!$L$2:$L$200,0)),0))</f>
        <v/>
      </c>
      <c r="K73" s="21">
        <f>IF($I73="","",IFERROR(INDEX(Offerte!$D$2:$D$200,MATCH($A73&amp;"|"&amp;$I73,Offerte!$L$2:$L$200,0)),0))</f>
        <v/>
      </c>
      <c r="L73" s="21">
        <f>IF($H73="","",IFERROR(INDEX(Offerte!$E$2:$E$200,MATCH($A73&amp;"|"&amp;$H73,Offerte!$L$2:$L$200,0)),0))</f>
        <v/>
      </c>
      <c r="M73" s="21">
        <f>IF($I73="","",IFERROR(INDEX(Offerte!$E$2:$E$200,MATCH($A73&amp;"|"&amp;$I73,Offerte!$L$2:$L$200,0)),0))</f>
        <v/>
      </c>
      <c r="N73" s="21">
        <f>IF($A73="","",IF(IFERROR(VALUE($D73),0)&lt;&gt;1,"NO",IF(AND(IFERROR(VALUE($J73),0)=1,IFERROR(VALUE($K73),0)=1,IFERROR(VALUE($L73),0)&gt;=Parametri!$B$2,IFERROR(VALUE($M73),0)&gt;=Parametri!$B$2,IFERROR(VALUE($F73),0)=1,IFERROR(VALUE($G73),0)=1,IFERROR(VALUE($E73),0)&gt;$U73),"SI","NO")))</f>
        <v/>
      </c>
      <c r="O73" s="21">
        <f>IF($N73="SI",IFERROR(30*(IFERROR(VALUE($E73),0)/MAX(SUMPRODUCT(MAX((Offerte!$C$2:$C$200=$H73)*(IFERROR(Offerte!$D$2:$D$200*1,0)=1)*(IFERROR(Offerte!$E$2:$E$200*1,0)&gt;=Parametri!$B$2)*IFERROR(Offerte!$F$2:$F$200*1,0))),SUMPRODUCT(MAX(($H$5:$H$80=$H73)*($N$5:$N$80="SI")*IFERROR($E$5:$E$80*1,0))),SUMPRODUCT(MAX(($I$5:$I$80=$H73)*($N$5:$N$80="SI")*IFERROR($E$5:$E$80*1,0))))),0),0)</f>
        <v/>
      </c>
      <c r="P73" s="21">
        <f>IF($N73="SI",IFERROR(30*(IFERROR(VALUE($E73),0)/MAX(SUMPRODUCT(MAX((Offerte!$C$2:$C$200=$I73)*(IFERROR(Offerte!$D$2:$D$200*1,0)=1)*(IFERROR(Offerte!$E$2:$E$200*1,0)&gt;=Parametri!$B$2)*IFERROR(Offerte!$F$2:$F$200*1,0))),SUMPRODUCT(MAX(($H$5:$H$80=$I73)*($N$5:$N$80="SI")*IFERROR($E$5:$E$80*1,0))),SUMPRODUCT(MAX(($I$5:$I$80=$I73)*($N$5:$N$80="SI")*IFERROR($E$5:$E$80*1,0))))),0),0)</f>
        <v/>
      </c>
      <c r="Q73" s="21">
        <f>IF($N73="SI",ROUND($L73+$M73+$O73+$P73,4),0)</f>
        <v/>
      </c>
      <c r="R73" s="21">
        <f>IF($A73="","",IF(IFERROR(VALUE($D73),0)&lt;&gt;1,"Non attiva",IF(OR(IFERROR(VALUE($J73),0)&lt;&gt;1,IFERROR(VALUE($K73),0)&lt;&gt;1),"Singoli non attivi",IF(OR(IFERROR(VALUE($L73),0)&lt;Parametri!$B$2,IFERROR(VALUE($M73),0)&lt;Parametri!$B$2),"Soglia non superata",IF(OR(IFERROR(VALUE($F73),0)&lt;&gt;1,IFERROR(VALUE($G73),0)&lt;&gt;1),"Buste/PEF non confermati",IF(IFERROR(VALUE($E73),0)&lt;=$U73,"Ribasso non migliorativo",""))))))</f>
        <v/>
      </c>
      <c r="S73" s="21">
        <f>IF($H73="","",IFERROR(INDEX(Offerte!$F$2:$F$200,MATCH($A73&amp;"|"&amp;$H73,Offerte!$L$2:$L$200,0)),0))</f>
        <v/>
      </c>
      <c r="T73" s="21">
        <f>IF($I73="","",IFERROR(INDEX(Offerte!$F$2:$F$200,MATCH($A73&amp;"|"&amp;$I73,Offerte!$L$2:$L$200,0)),0))</f>
        <v/>
      </c>
      <c r="U73" s="21">
        <f>IF($A73="","",ROUND((IFERROR(VALUE($S73),0)+IFERROR(VALUE($T73),0))/2,4))</f>
        <v/>
      </c>
      <c r="V73" s="21">
        <f>IF($A73="","",$C73&amp;"|"&amp;TEXT($Q73,"0.0000"))</f>
        <v/>
      </c>
      <c r="W73" s="21">
        <f>IF($A73="","",$C73&amp;"|"&amp;$A73)</f>
        <v/>
      </c>
    </row>
    <row r="74">
      <c r="A74" s="20" t="n"/>
      <c r="B74" s="20">
        <f>IF($A74="","",IFERROR(INDEX(Offerte!$B$2:$B$200,MATCH($A74,Offerte!$A$2:$A$200,0)),""))</f>
        <v/>
      </c>
      <c r="C74" s="20" t="n"/>
      <c r="D74" s="20" t="n"/>
      <c r="E74" s="20" t="n"/>
      <c r="F74" s="20" t="n"/>
      <c r="G74" s="20" t="n"/>
      <c r="H74" s="21">
        <f>IF($C74="L1+L2","L1",IF($C74="L2+L3","L2",IF($C74="L3+L4","L3",IF($C74="L1+L4","L1",""))))</f>
        <v/>
      </c>
      <c r="I74" s="21">
        <f>IF($C74="L1+L2","L2",IF($C74="L2+L3","L3",IF($C74="L3+L4","L4",IF($C74="L1+L4","L4",""))))</f>
        <v/>
      </c>
      <c r="J74" s="21">
        <f>IF($H74="","",IFERROR(INDEX(Offerte!$D$2:$D$200,MATCH($A74&amp;"|"&amp;$H74,Offerte!$L$2:$L$200,0)),0))</f>
        <v/>
      </c>
      <c r="K74" s="21">
        <f>IF($I74="","",IFERROR(INDEX(Offerte!$D$2:$D$200,MATCH($A74&amp;"|"&amp;$I74,Offerte!$L$2:$L$200,0)),0))</f>
        <v/>
      </c>
      <c r="L74" s="21">
        <f>IF($H74="","",IFERROR(INDEX(Offerte!$E$2:$E$200,MATCH($A74&amp;"|"&amp;$H74,Offerte!$L$2:$L$200,0)),0))</f>
        <v/>
      </c>
      <c r="M74" s="21">
        <f>IF($I74="","",IFERROR(INDEX(Offerte!$E$2:$E$200,MATCH($A74&amp;"|"&amp;$I74,Offerte!$L$2:$L$200,0)),0))</f>
        <v/>
      </c>
      <c r="N74" s="21">
        <f>IF($A74="","",IF(IFERROR(VALUE($D74),0)&lt;&gt;1,"NO",IF(AND(IFERROR(VALUE($J74),0)=1,IFERROR(VALUE($K74),0)=1,IFERROR(VALUE($L74),0)&gt;=Parametri!$B$2,IFERROR(VALUE($M74),0)&gt;=Parametri!$B$2,IFERROR(VALUE($F74),0)=1,IFERROR(VALUE($G74),0)=1,IFERROR(VALUE($E74),0)&gt;$U74),"SI","NO")))</f>
        <v/>
      </c>
      <c r="O74" s="21">
        <f>IF($N74="SI",IFERROR(30*(IFERROR(VALUE($E74),0)/MAX(SUMPRODUCT(MAX((Offerte!$C$2:$C$200=$H74)*(IFERROR(Offerte!$D$2:$D$200*1,0)=1)*(IFERROR(Offerte!$E$2:$E$200*1,0)&gt;=Parametri!$B$2)*IFERROR(Offerte!$F$2:$F$200*1,0))),SUMPRODUCT(MAX(($H$5:$H$80=$H74)*($N$5:$N$80="SI")*IFERROR($E$5:$E$80*1,0))),SUMPRODUCT(MAX(($I$5:$I$80=$H74)*($N$5:$N$80="SI")*IFERROR($E$5:$E$80*1,0))))),0),0)</f>
        <v/>
      </c>
      <c r="P74" s="21">
        <f>IF($N74="SI",IFERROR(30*(IFERROR(VALUE($E74),0)/MAX(SUMPRODUCT(MAX((Offerte!$C$2:$C$200=$I74)*(IFERROR(Offerte!$D$2:$D$200*1,0)=1)*(IFERROR(Offerte!$E$2:$E$200*1,0)&gt;=Parametri!$B$2)*IFERROR(Offerte!$F$2:$F$200*1,0))),SUMPRODUCT(MAX(($H$5:$H$80=$I74)*($N$5:$N$80="SI")*IFERROR($E$5:$E$80*1,0))),SUMPRODUCT(MAX(($I$5:$I$80=$I74)*($N$5:$N$80="SI")*IFERROR($E$5:$E$80*1,0))))),0),0)</f>
        <v/>
      </c>
      <c r="Q74" s="21">
        <f>IF($N74="SI",ROUND($L74+$M74+$O74+$P74,4),0)</f>
        <v/>
      </c>
      <c r="R74" s="21">
        <f>IF($A74="","",IF(IFERROR(VALUE($D74),0)&lt;&gt;1,"Non attiva",IF(OR(IFERROR(VALUE($J74),0)&lt;&gt;1,IFERROR(VALUE($K74),0)&lt;&gt;1),"Singoli non attivi",IF(OR(IFERROR(VALUE($L74),0)&lt;Parametri!$B$2,IFERROR(VALUE($M74),0)&lt;Parametri!$B$2),"Soglia non superata",IF(OR(IFERROR(VALUE($F74),0)&lt;&gt;1,IFERROR(VALUE($G74),0)&lt;&gt;1),"Buste/PEF non confermati",IF(IFERROR(VALUE($E74),0)&lt;=$U74,"Ribasso non migliorativo",""))))))</f>
        <v/>
      </c>
      <c r="S74" s="21">
        <f>IF($H74="","",IFERROR(INDEX(Offerte!$F$2:$F$200,MATCH($A74&amp;"|"&amp;$H74,Offerte!$L$2:$L$200,0)),0))</f>
        <v/>
      </c>
      <c r="T74" s="21">
        <f>IF($I74="","",IFERROR(INDEX(Offerte!$F$2:$F$200,MATCH($A74&amp;"|"&amp;$I74,Offerte!$L$2:$L$200,0)),0))</f>
        <v/>
      </c>
      <c r="U74" s="21">
        <f>IF($A74="","",ROUND((IFERROR(VALUE($S74),0)+IFERROR(VALUE($T74),0))/2,4))</f>
        <v/>
      </c>
      <c r="V74" s="21">
        <f>IF($A74="","",$C74&amp;"|"&amp;TEXT($Q74,"0.0000"))</f>
        <v/>
      </c>
      <c r="W74" s="21">
        <f>IF($A74="","",$C74&amp;"|"&amp;$A74)</f>
        <v/>
      </c>
    </row>
    <row r="75">
      <c r="A75" s="20" t="n"/>
      <c r="B75" s="20">
        <f>IF($A75="","",IFERROR(INDEX(Offerte!$B$2:$B$200,MATCH($A75,Offerte!$A$2:$A$200,0)),""))</f>
        <v/>
      </c>
      <c r="C75" s="20" t="n"/>
      <c r="D75" s="20" t="n"/>
      <c r="E75" s="20" t="n"/>
      <c r="F75" s="20" t="n"/>
      <c r="G75" s="20" t="n"/>
      <c r="H75" s="21">
        <f>IF($C75="L1+L2","L1",IF($C75="L2+L3","L2",IF($C75="L3+L4","L3",IF($C75="L1+L4","L1",""))))</f>
        <v/>
      </c>
      <c r="I75" s="21">
        <f>IF($C75="L1+L2","L2",IF($C75="L2+L3","L3",IF($C75="L3+L4","L4",IF($C75="L1+L4","L4",""))))</f>
        <v/>
      </c>
      <c r="J75" s="21">
        <f>IF($H75="","",IFERROR(INDEX(Offerte!$D$2:$D$200,MATCH($A75&amp;"|"&amp;$H75,Offerte!$L$2:$L$200,0)),0))</f>
        <v/>
      </c>
      <c r="K75" s="21">
        <f>IF($I75="","",IFERROR(INDEX(Offerte!$D$2:$D$200,MATCH($A75&amp;"|"&amp;$I75,Offerte!$L$2:$L$200,0)),0))</f>
        <v/>
      </c>
      <c r="L75" s="21">
        <f>IF($H75="","",IFERROR(INDEX(Offerte!$E$2:$E$200,MATCH($A75&amp;"|"&amp;$H75,Offerte!$L$2:$L$200,0)),0))</f>
        <v/>
      </c>
      <c r="M75" s="21">
        <f>IF($I75="","",IFERROR(INDEX(Offerte!$E$2:$E$200,MATCH($A75&amp;"|"&amp;$I75,Offerte!$L$2:$L$200,0)),0))</f>
        <v/>
      </c>
      <c r="N75" s="21">
        <f>IF($A75="","",IF(IFERROR(VALUE($D75),0)&lt;&gt;1,"NO",IF(AND(IFERROR(VALUE($J75),0)=1,IFERROR(VALUE($K75),0)=1,IFERROR(VALUE($L75),0)&gt;=Parametri!$B$2,IFERROR(VALUE($M75),0)&gt;=Parametri!$B$2,IFERROR(VALUE($F75),0)=1,IFERROR(VALUE($G75),0)=1,IFERROR(VALUE($E75),0)&gt;$U75),"SI","NO")))</f>
        <v/>
      </c>
      <c r="O75" s="21">
        <f>IF($N75="SI",IFERROR(30*(IFERROR(VALUE($E75),0)/MAX(SUMPRODUCT(MAX((Offerte!$C$2:$C$200=$H75)*(IFERROR(Offerte!$D$2:$D$200*1,0)=1)*(IFERROR(Offerte!$E$2:$E$200*1,0)&gt;=Parametri!$B$2)*IFERROR(Offerte!$F$2:$F$200*1,0))),SUMPRODUCT(MAX(($H$5:$H$80=$H75)*($N$5:$N$80="SI")*IFERROR($E$5:$E$80*1,0))),SUMPRODUCT(MAX(($I$5:$I$80=$H75)*($N$5:$N$80="SI")*IFERROR($E$5:$E$80*1,0))))),0),0)</f>
        <v/>
      </c>
      <c r="P75" s="21">
        <f>IF($N75="SI",IFERROR(30*(IFERROR(VALUE($E75),0)/MAX(SUMPRODUCT(MAX((Offerte!$C$2:$C$200=$I75)*(IFERROR(Offerte!$D$2:$D$200*1,0)=1)*(IFERROR(Offerte!$E$2:$E$200*1,0)&gt;=Parametri!$B$2)*IFERROR(Offerte!$F$2:$F$200*1,0))),SUMPRODUCT(MAX(($H$5:$H$80=$I75)*($N$5:$N$80="SI")*IFERROR($E$5:$E$80*1,0))),SUMPRODUCT(MAX(($I$5:$I$80=$I75)*($N$5:$N$80="SI")*IFERROR($E$5:$E$80*1,0))))),0),0)</f>
        <v/>
      </c>
      <c r="Q75" s="21">
        <f>IF($N75="SI",ROUND($L75+$M75+$O75+$P75,4),0)</f>
        <v/>
      </c>
      <c r="R75" s="21">
        <f>IF($A75="","",IF(IFERROR(VALUE($D75),0)&lt;&gt;1,"Non attiva",IF(OR(IFERROR(VALUE($J75),0)&lt;&gt;1,IFERROR(VALUE($K75),0)&lt;&gt;1),"Singoli non attivi",IF(OR(IFERROR(VALUE($L75),0)&lt;Parametri!$B$2,IFERROR(VALUE($M75),0)&lt;Parametri!$B$2),"Soglia non superata",IF(OR(IFERROR(VALUE($F75),0)&lt;&gt;1,IFERROR(VALUE($G75),0)&lt;&gt;1),"Buste/PEF non confermati",IF(IFERROR(VALUE($E75),0)&lt;=$U75,"Ribasso non migliorativo",""))))))</f>
        <v/>
      </c>
      <c r="S75" s="21">
        <f>IF($H75="","",IFERROR(INDEX(Offerte!$F$2:$F$200,MATCH($A75&amp;"|"&amp;$H75,Offerte!$L$2:$L$200,0)),0))</f>
        <v/>
      </c>
      <c r="T75" s="21">
        <f>IF($I75="","",IFERROR(INDEX(Offerte!$F$2:$F$200,MATCH($A75&amp;"|"&amp;$I75,Offerte!$L$2:$L$200,0)),0))</f>
        <v/>
      </c>
      <c r="U75" s="21">
        <f>IF($A75="","",ROUND((IFERROR(VALUE($S75),0)+IFERROR(VALUE($T75),0))/2,4))</f>
        <v/>
      </c>
      <c r="V75" s="21">
        <f>IF($A75="","",$C75&amp;"|"&amp;TEXT($Q75,"0.0000"))</f>
        <v/>
      </c>
      <c r="W75" s="21">
        <f>IF($A75="","",$C75&amp;"|"&amp;$A75)</f>
        <v/>
      </c>
    </row>
    <row r="76">
      <c r="A76" s="20" t="n"/>
      <c r="B76" s="20">
        <f>IF($A76="","",IFERROR(INDEX(Offerte!$B$2:$B$200,MATCH($A76,Offerte!$A$2:$A$200,0)),""))</f>
        <v/>
      </c>
      <c r="C76" s="20" t="n"/>
      <c r="D76" s="20" t="n"/>
      <c r="E76" s="20" t="n"/>
      <c r="F76" s="20" t="n"/>
      <c r="G76" s="20" t="n"/>
      <c r="H76" s="21">
        <f>IF($C76="L1+L2","L1",IF($C76="L2+L3","L2",IF($C76="L3+L4","L3",IF($C76="L1+L4","L1",""))))</f>
        <v/>
      </c>
      <c r="I76" s="21">
        <f>IF($C76="L1+L2","L2",IF($C76="L2+L3","L3",IF($C76="L3+L4","L4",IF($C76="L1+L4","L4",""))))</f>
        <v/>
      </c>
      <c r="J76" s="21">
        <f>IF($H76="","",IFERROR(INDEX(Offerte!$D$2:$D$200,MATCH($A76&amp;"|"&amp;$H76,Offerte!$L$2:$L$200,0)),0))</f>
        <v/>
      </c>
      <c r="K76" s="21">
        <f>IF($I76="","",IFERROR(INDEX(Offerte!$D$2:$D$200,MATCH($A76&amp;"|"&amp;$I76,Offerte!$L$2:$L$200,0)),0))</f>
        <v/>
      </c>
      <c r="L76" s="21">
        <f>IF($H76="","",IFERROR(INDEX(Offerte!$E$2:$E$200,MATCH($A76&amp;"|"&amp;$H76,Offerte!$L$2:$L$200,0)),0))</f>
        <v/>
      </c>
      <c r="M76" s="21">
        <f>IF($I76="","",IFERROR(INDEX(Offerte!$E$2:$E$200,MATCH($A76&amp;"|"&amp;$I76,Offerte!$L$2:$L$200,0)),0))</f>
        <v/>
      </c>
      <c r="N76" s="21">
        <f>IF($A76="","",IF(IFERROR(VALUE($D76),0)&lt;&gt;1,"NO",IF(AND(IFERROR(VALUE($J76),0)=1,IFERROR(VALUE($K76),0)=1,IFERROR(VALUE($L76),0)&gt;=Parametri!$B$2,IFERROR(VALUE($M76),0)&gt;=Parametri!$B$2,IFERROR(VALUE($F76),0)=1,IFERROR(VALUE($G76),0)=1,IFERROR(VALUE($E76),0)&gt;$U76),"SI","NO")))</f>
        <v/>
      </c>
      <c r="O76" s="21">
        <f>IF($N76="SI",IFERROR(30*(IFERROR(VALUE($E76),0)/MAX(SUMPRODUCT(MAX((Offerte!$C$2:$C$200=$H76)*(IFERROR(Offerte!$D$2:$D$200*1,0)=1)*(IFERROR(Offerte!$E$2:$E$200*1,0)&gt;=Parametri!$B$2)*IFERROR(Offerte!$F$2:$F$200*1,0))),SUMPRODUCT(MAX(($H$5:$H$80=$H76)*($N$5:$N$80="SI")*IFERROR($E$5:$E$80*1,0))),SUMPRODUCT(MAX(($I$5:$I$80=$H76)*($N$5:$N$80="SI")*IFERROR($E$5:$E$80*1,0))))),0),0)</f>
        <v/>
      </c>
      <c r="P76" s="21">
        <f>IF($N76="SI",IFERROR(30*(IFERROR(VALUE($E76),0)/MAX(SUMPRODUCT(MAX((Offerte!$C$2:$C$200=$I76)*(IFERROR(Offerte!$D$2:$D$200*1,0)=1)*(IFERROR(Offerte!$E$2:$E$200*1,0)&gt;=Parametri!$B$2)*IFERROR(Offerte!$F$2:$F$200*1,0))),SUMPRODUCT(MAX(($H$5:$H$80=$I76)*($N$5:$N$80="SI")*IFERROR($E$5:$E$80*1,0))),SUMPRODUCT(MAX(($I$5:$I$80=$I76)*($N$5:$N$80="SI")*IFERROR($E$5:$E$80*1,0))))),0),0)</f>
        <v/>
      </c>
      <c r="Q76" s="21">
        <f>IF($N76="SI",ROUND($L76+$M76+$O76+$P76,4),0)</f>
        <v/>
      </c>
      <c r="R76" s="21">
        <f>IF($A76="","",IF(IFERROR(VALUE($D76),0)&lt;&gt;1,"Non attiva",IF(OR(IFERROR(VALUE($J76),0)&lt;&gt;1,IFERROR(VALUE($K76),0)&lt;&gt;1),"Singoli non attivi",IF(OR(IFERROR(VALUE($L76),0)&lt;Parametri!$B$2,IFERROR(VALUE($M76),0)&lt;Parametri!$B$2),"Soglia non superata",IF(OR(IFERROR(VALUE($F76),0)&lt;&gt;1,IFERROR(VALUE($G76),0)&lt;&gt;1),"Buste/PEF non confermati",IF(IFERROR(VALUE($E76),0)&lt;=$U76,"Ribasso non migliorativo",""))))))</f>
        <v/>
      </c>
      <c r="S76" s="21">
        <f>IF($H76="","",IFERROR(INDEX(Offerte!$F$2:$F$200,MATCH($A76&amp;"|"&amp;$H76,Offerte!$L$2:$L$200,0)),0))</f>
        <v/>
      </c>
      <c r="T76" s="21">
        <f>IF($I76="","",IFERROR(INDEX(Offerte!$F$2:$F$200,MATCH($A76&amp;"|"&amp;$I76,Offerte!$L$2:$L$200,0)),0))</f>
        <v/>
      </c>
      <c r="U76" s="21">
        <f>IF($A76="","",ROUND((IFERROR(VALUE($S76),0)+IFERROR(VALUE($T76),0))/2,4))</f>
        <v/>
      </c>
      <c r="V76" s="21">
        <f>IF($A76="","",$C76&amp;"|"&amp;TEXT($Q76,"0.0000"))</f>
        <v/>
      </c>
      <c r="W76" s="21">
        <f>IF($A76="","",$C76&amp;"|"&amp;$A76)</f>
        <v/>
      </c>
    </row>
    <row r="77">
      <c r="A77" s="20" t="n"/>
      <c r="B77" s="20">
        <f>IF($A77="","",IFERROR(INDEX(Offerte!$B$2:$B$200,MATCH($A77,Offerte!$A$2:$A$200,0)),""))</f>
        <v/>
      </c>
      <c r="C77" s="20" t="n"/>
      <c r="D77" s="20" t="n"/>
      <c r="E77" s="20" t="n"/>
      <c r="F77" s="20" t="n"/>
      <c r="G77" s="20" t="n"/>
      <c r="H77" s="21">
        <f>IF($C77="L1+L2","L1",IF($C77="L2+L3","L2",IF($C77="L3+L4","L3",IF($C77="L1+L4","L1",""))))</f>
        <v/>
      </c>
      <c r="I77" s="21">
        <f>IF($C77="L1+L2","L2",IF($C77="L2+L3","L3",IF($C77="L3+L4","L4",IF($C77="L1+L4","L4",""))))</f>
        <v/>
      </c>
      <c r="J77" s="21">
        <f>IF($H77="","",IFERROR(INDEX(Offerte!$D$2:$D$200,MATCH($A77&amp;"|"&amp;$H77,Offerte!$L$2:$L$200,0)),0))</f>
        <v/>
      </c>
      <c r="K77" s="21">
        <f>IF($I77="","",IFERROR(INDEX(Offerte!$D$2:$D$200,MATCH($A77&amp;"|"&amp;$I77,Offerte!$L$2:$L$200,0)),0))</f>
        <v/>
      </c>
      <c r="L77" s="21">
        <f>IF($H77="","",IFERROR(INDEX(Offerte!$E$2:$E$200,MATCH($A77&amp;"|"&amp;$H77,Offerte!$L$2:$L$200,0)),0))</f>
        <v/>
      </c>
      <c r="M77" s="21">
        <f>IF($I77="","",IFERROR(INDEX(Offerte!$E$2:$E$200,MATCH($A77&amp;"|"&amp;$I77,Offerte!$L$2:$L$200,0)),0))</f>
        <v/>
      </c>
      <c r="N77" s="21">
        <f>IF($A77="","",IF(IFERROR(VALUE($D77),0)&lt;&gt;1,"NO",IF(AND(IFERROR(VALUE($J77),0)=1,IFERROR(VALUE($K77),0)=1,IFERROR(VALUE($L77),0)&gt;=Parametri!$B$2,IFERROR(VALUE($M77),0)&gt;=Parametri!$B$2,IFERROR(VALUE($F77),0)=1,IFERROR(VALUE($G77),0)=1,IFERROR(VALUE($E77),0)&gt;$U77),"SI","NO")))</f>
        <v/>
      </c>
      <c r="O77" s="21">
        <f>IF($N77="SI",IFERROR(30*(IFERROR(VALUE($E77),0)/MAX(SUMPRODUCT(MAX((Offerte!$C$2:$C$200=$H77)*(IFERROR(Offerte!$D$2:$D$200*1,0)=1)*(IFERROR(Offerte!$E$2:$E$200*1,0)&gt;=Parametri!$B$2)*IFERROR(Offerte!$F$2:$F$200*1,0))),SUMPRODUCT(MAX(($H$5:$H$80=$H77)*($N$5:$N$80="SI")*IFERROR($E$5:$E$80*1,0))),SUMPRODUCT(MAX(($I$5:$I$80=$H77)*($N$5:$N$80="SI")*IFERROR($E$5:$E$80*1,0))))),0),0)</f>
        <v/>
      </c>
      <c r="P77" s="21">
        <f>IF($N77="SI",IFERROR(30*(IFERROR(VALUE($E77),0)/MAX(SUMPRODUCT(MAX((Offerte!$C$2:$C$200=$I77)*(IFERROR(Offerte!$D$2:$D$200*1,0)=1)*(IFERROR(Offerte!$E$2:$E$200*1,0)&gt;=Parametri!$B$2)*IFERROR(Offerte!$F$2:$F$200*1,0))),SUMPRODUCT(MAX(($H$5:$H$80=$I77)*($N$5:$N$80="SI")*IFERROR($E$5:$E$80*1,0))),SUMPRODUCT(MAX(($I$5:$I$80=$I77)*($N$5:$N$80="SI")*IFERROR($E$5:$E$80*1,0))))),0),0)</f>
        <v/>
      </c>
      <c r="Q77" s="21">
        <f>IF($N77="SI",ROUND($L77+$M77+$O77+$P77,4),0)</f>
        <v/>
      </c>
      <c r="R77" s="21">
        <f>IF($A77="","",IF(IFERROR(VALUE($D77),0)&lt;&gt;1,"Non attiva",IF(OR(IFERROR(VALUE($J77),0)&lt;&gt;1,IFERROR(VALUE($K77),0)&lt;&gt;1),"Singoli non attivi",IF(OR(IFERROR(VALUE($L77),0)&lt;Parametri!$B$2,IFERROR(VALUE($M77),0)&lt;Parametri!$B$2),"Soglia non superata",IF(OR(IFERROR(VALUE($F77),0)&lt;&gt;1,IFERROR(VALUE($G77),0)&lt;&gt;1),"Buste/PEF non confermati",IF(IFERROR(VALUE($E77),0)&lt;=$U77,"Ribasso non migliorativo",""))))))</f>
        <v/>
      </c>
      <c r="S77" s="21">
        <f>IF($H77="","",IFERROR(INDEX(Offerte!$F$2:$F$200,MATCH($A77&amp;"|"&amp;$H77,Offerte!$L$2:$L$200,0)),0))</f>
        <v/>
      </c>
      <c r="T77" s="21">
        <f>IF($I77="","",IFERROR(INDEX(Offerte!$F$2:$F$200,MATCH($A77&amp;"|"&amp;$I77,Offerte!$L$2:$L$200,0)),0))</f>
        <v/>
      </c>
      <c r="U77" s="21">
        <f>IF($A77="","",ROUND((IFERROR(VALUE($S77),0)+IFERROR(VALUE($T77),0))/2,4))</f>
        <v/>
      </c>
      <c r="V77" s="21">
        <f>IF($A77="","",$C77&amp;"|"&amp;TEXT($Q77,"0.0000"))</f>
        <v/>
      </c>
      <c r="W77" s="21">
        <f>IF($A77="","",$C77&amp;"|"&amp;$A77)</f>
        <v/>
      </c>
    </row>
    <row r="78">
      <c r="A78" s="20" t="n"/>
      <c r="B78" s="20">
        <f>IF($A78="","",IFERROR(INDEX(Offerte!$B$2:$B$200,MATCH($A78,Offerte!$A$2:$A$200,0)),""))</f>
        <v/>
      </c>
      <c r="C78" s="20" t="n"/>
      <c r="D78" s="20" t="n"/>
      <c r="E78" s="20" t="n"/>
      <c r="F78" s="20" t="n"/>
      <c r="G78" s="20" t="n"/>
      <c r="H78" s="21">
        <f>IF($C78="L1+L2","L1",IF($C78="L2+L3","L2",IF($C78="L3+L4","L3",IF($C78="L1+L4","L1",""))))</f>
        <v/>
      </c>
      <c r="I78" s="21">
        <f>IF($C78="L1+L2","L2",IF($C78="L2+L3","L3",IF($C78="L3+L4","L4",IF($C78="L1+L4","L4",""))))</f>
        <v/>
      </c>
      <c r="J78" s="21">
        <f>IF($H78="","",IFERROR(INDEX(Offerte!$D$2:$D$200,MATCH($A78&amp;"|"&amp;$H78,Offerte!$L$2:$L$200,0)),0))</f>
        <v/>
      </c>
      <c r="K78" s="21">
        <f>IF($I78="","",IFERROR(INDEX(Offerte!$D$2:$D$200,MATCH($A78&amp;"|"&amp;$I78,Offerte!$L$2:$L$200,0)),0))</f>
        <v/>
      </c>
      <c r="L78" s="21">
        <f>IF($H78="","",IFERROR(INDEX(Offerte!$E$2:$E$200,MATCH($A78&amp;"|"&amp;$H78,Offerte!$L$2:$L$200,0)),0))</f>
        <v/>
      </c>
      <c r="M78" s="21">
        <f>IF($I78="","",IFERROR(INDEX(Offerte!$E$2:$E$200,MATCH($A78&amp;"|"&amp;$I78,Offerte!$L$2:$L$200,0)),0))</f>
        <v/>
      </c>
      <c r="N78" s="21">
        <f>IF($A78="","",IF(IFERROR(VALUE($D78),0)&lt;&gt;1,"NO",IF(AND(IFERROR(VALUE($J78),0)=1,IFERROR(VALUE($K78),0)=1,IFERROR(VALUE($L78),0)&gt;=Parametri!$B$2,IFERROR(VALUE($M78),0)&gt;=Parametri!$B$2,IFERROR(VALUE($F78),0)=1,IFERROR(VALUE($G78),0)=1,IFERROR(VALUE($E78),0)&gt;$U78),"SI","NO")))</f>
        <v/>
      </c>
      <c r="O78" s="21">
        <f>IF($N78="SI",IFERROR(30*(IFERROR(VALUE($E78),0)/MAX(SUMPRODUCT(MAX((Offerte!$C$2:$C$200=$H78)*(IFERROR(Offerte!$D$2:$D$200*1,0)=1)*(IFERROR(Offerte!$E$2:$E$200*1,0)&gt;=Parametri!$B$2)*IFERROR(Offerte!$F$2:$F$200*1,0))),SUMPRODUCT(MAX(($H$5:$H$80=$H78)*($N$5:$N$80="SI")*IFERROR($E$5:$E$80*1,0))),SUMPRODUCT(MAX(($I$5:$I$80=$H78)*($N$5:$N$80="SI")*IFERROR($E$5:$E$80*1,0))))),0),0)</f>
        <v/>
      </c>
      <c r="P78" s="21">
        <f>IF($N78="SI",IFERROR(30*(IFERROR(VALUE($E78),0)/MAX(SUMPRODUCT(MAX((Offerte!$C$2:$C$200=$I78)*(IFERROR(Offerte!$D$2:$D$200*1,0)=1)*(IFERROR(Offerte!$E$2:$E$200*1,0)&gt;=Parametri!$B$2)*IFERROR(Offerte!$F$2:$F$200*1,0))),SUMPRODUCT(MAX(($H$5:$H$80=$I78)*($N$5:$N$80="SI")*IFERROR($E$5:$E$80*1,0))),SUMPRODUCT(MAX(($I$5:$I$80=$I78)*($N$5:$N$80="SI")*IFERROR($E$5:$E$80*1,0))))),0),0)</f>
        <v/>
      </c>
      <c r="Q78" s="21">
        <f>IF($N78="SI",ROUND($L78+$M78+$O78+$P78,4),0)</f>
        <v/>
      </c>
      <c r="R78" s="21">
        <f>IF($A78="","",IF(IFERROR(VALUE($D78),0)&lt;&gt;1,"Non attiva",IF(OR(IFERROR(VALUE($J78),0)&lt;&gt;1,IFERROR(VALUE($K78),0)&lt;&gt;1),"Singoli non attivi",IF(OR(IFERROR(VALUE($L78),0)&lt;Parametri!$B$2,IFERROR(VALUE($M78),0)&lt;Parametri!$B$2),"Soglia non superata",IF(OR(IFERROR(VALUE($F78),0)&lt;&gt;1,IFERROR(VALUE($G78),0)&lt;&gt;1),"Buste/PEF non confermati",IF(IFERROR(VALUE($E78),0)&lt;=$U78,"Ribasso non migliorativo",""))))))</f>
        <v/>
      </c>
      <c r="S78" s="21">
        <f>IF($H78="","",IFERROR(INDEX(Offerte!$F$2:$F$200,MATCH($A78&amp;"|"&amp;$H78,Offerte!$L$2:$L$200,0)),0))</f>
        <v/>
      </c>
      <c r="T78" s="21">
        <f>IF($I78="","",IFERROR(INDEX(Offerte!$F$2:$F$200,MATCH($A78&amp;"|"&amp;$I78,Offerte!$L$2:$L$200,0)),0))</f>
        <v/>
      </c>
      <c r="U78" s="21">
        <f>IF($A78="","",ROUND((IFERROR(VALUE($S78),0)+IFERROR(VALUE($T78),0))/2,4))</f>
        <v/>
      </c>
      <c r="V78" s="21">
        <f>IF($A78="","",$C78&amp;"|"&amp;TEXT($Q78,"0.0000"))</f>
        <v/>
      </c>
      <c r="W78" s="21">
        <f>IF($A78="","",$C78&amp;"|"&amp;$A78)</f>
        <v/>
      </c>
    </row>
    <row r="79">
      <c r="A79" s="20" t="n"/>
      <c r="B79" s="20">
        <f>IF($A79="","",IFERROR(INDEX(Offerte!$B$2:$B$200,MATCH($A79,Offerte!$A$2:$A$200,0)),""))</f>
        <v/>
      </c>
      <c r="C79" s="20" t="n"/>
      <c r="D79" s="20" t="n"/>
      <c r="E79" s="20" t="n"/>
      <c r="F79" s="20" t="n"/>
      <c r="G79" s="20" t="n"/>
      <c r="H79" s="21">
        <f>IF($C79="L1+L2","L1",IF($C79="L2+L3","L2",IF($C79="L3+L4","L3",IF($C79="L1+L4","L1",""))))</f>
        <v/>
      </c>
      <c r="I79" s="21">
        <f>IF($C79="L1+L2","L2",IF($C79="L2+L3","L3",IF($C79="L3+L4","L4",IF($C79="L1+L4","L4",""))))</f>
        <v/>
      </c>
      <c r="J79" s="21">
        <f>IF($H79="","",IFERROR(INDEX(Offerte!$D$2:$D$200,MATCH($A79&amp;"|"&amp;$H79,Offerte!$L$2:$L$200,0)),0))</f>
        <v/>
      </c>
      <c r="K79" s="21">
        <f>IF($I79="","",IFERROR(INDEX(Offerte!$D$2:$D$200,MATCH($A79&amp;"|"&amp;$I79,Offerte!$L$2:$L$200,0)),0))</f>
        <v/>
      </c>
      <c r="L79" s="21">
        <f>IF($H79="","",IFERROR(INDEX(Offerte!$E$2:$E$200,MATCH($A79&amp;"|"&amp;$H79,Offerte!$L$2:$L$200,0)),0))</f>
        <v/>
      </c>
      <c r="M79" s="21">
        <f>IF($I79="","",IFERROR(INDEX(Offerte!$E$2:$E$200,MATCH($A79&amp;"|"&amp;$I79,Offerte!$L$2:$L$200,0)),0))</f>
        <v/>
      </c>
      <c r="N79" s="21">
        <f>IF($A79="","",IF(IFERROR(VALUE($D79),0)&lt;&gt;1,"NO",IF(AND(IFERROR(VALUE($J79),0)=1,IFERROR(VALUE($K79),0)=1,IFERROR(VALUE($L79),0)&gt;=Parametri!$B$2,IFERROR(VALUE($M79),0)&gt;=Parametri!$B$2,IFERROR(VALUE($F79),0)=1,IFERROR(VALUE($G79),0)=1,IFERROR(VALUE($E79),0)&gt;$U79),"SI","NO")))</f>
        <v/>
      </c>
      <c r="O79" s="21">
        <f>IF($N79="SI",IFERROR(30*(IFERROR(VALUE($E79),0)/MAX(SUMPRODUCT(MAX((Offerte!$C$2:$C$200=$H79)*(IFERROR(Offerte!$D$2:$D$200*1,0)=1)*(IFERROR(Offerte!$E$2:$E$200*1,0)&gt;=Parametri!$B$2)*IFERROR(Offerte!$F$2:$F$200*1,0))),SUMPRODUCT(MAX(($H$5:$H$80=$H79)*($N$5:$N$80="SI")*IFERROR($E$5:$E$80*1,0))),SUMPRODUCT(MAX(($I$5:$I$80=$H79)*($N$5:$N$80="SI")*IFERROR($E$5:$E$80*1,0))))),0),0)</f>
        <v/>
      </c>
      <c r="P79" s="21">
        <f>IF($N79="SI",IFERROR(30*(IFERROR(VALUE($E79),0)/MAX(SUMPRODUCT(MAX((Offerte!$C$2:$C$200=$I79)*(IFERROR(Offerte!$D$2:$D$200*1,0)=1)*(IFERROR(Offerte!$E$2:$E$200*1,0)&gt;=Parametri!$B$2)*IFERROR(Offerte!$F$2:$F$200*1,0))),SUMPRODUCT(MAX(($H$5:$H$80=$I79)*($N$5:$N$80="SI")*IFERROR($E$5:$E$80*1,0))),SUMPRODUCT(MAX(($I$5:$I$80=$I79)*($N$5:$N$80="SI")*IFERROR($E$5:$E$80*1,0))))),0),0)</f>
        <v/>
      </c>
      <c r="Q79" s="21">
        <f>IF($N79="SI",ROUND($L79+$M79+$O79+$P79,4),0)</f>
        <v/>
      </c>
      <c r="R79" s="21">
        <f>IF($A79="","",IF(IFERROR(VALUE($D79),0)&lt;&gt;1,"Non attiva",IF(OR(IFERROR(VALUE($J79),0)&lt;&gt;1,IFERROR(VALUE($K79),0)&lt;&gt;1),"Singoli non attivi",IF(OR(IFERROR(VALUE($L79),0)&lt;Parametri!$B$2,IFERROR(VALUE($M79),0)&lt;Parametri!$B$2),"Soglia non superata",IF(OR(IFERROR(VALUE($F79),0)&lt;&gt;1,IFERROR(VALUE($G79),0)&lt;&gt;1),"Buste/PEF non confermati",IF(IFERROR(VALUE($E79),0)&lt;=$U79,"Ribasso non migliorativo",""))))))</f>
        <v/>
      </c>
      <c r="S79" s="21">
        <f>IF($H79="","",IFERROR(INDEX(Offerte!$F$2:$F$200,MATCH($A79&amp;"|"&amp;$H79,Offerte!$L$2:$L$200,0)),0))</f>
        <v/>
      </c>
      <c r="T79" s="21">
        <f>IF($I79="","",IFERROR(INDEX(Offerte!$F$2:$F$200,MATCH($A79&amp;"|"&amp;$I79,Offerte!$L$2:$L$200,0)),0))</f>
        <v/>
      </c>
      <c r="U79" s="21">
        <f>IF($A79="","",ROUND((IFERROR(VALUE($S79),0)+IFERROR(VALUE($T79),0))/2,4))</f>
        <v/>
      </c>
      <c r="V79" s="21">
        <f>IF($A79="","",$C79&amp;"|"&amp;TEXT($Q79,"0.0000"))</f>
        <v/>
      </c>
      <c r="W79" s="21">
        <f>IF($A79="","",$C79&amp;"|"&amp;$A79)</f>
        <v/>
      </c>
    </row>
    <row r="80">
      <c r="A80" s="20" t="n"/>
      <c r="B80" s="20">
        <f>IF($A80="","",IFERROR(INDEX(Offerte!$B$2:$B$200,MATCH($A80,Offerte!$A$2:$A$200,0)),""))</f>
        <v/>
      </c>
      <c r="C80" s="20" t="n"/>
      <c r="D80" s="20" t="n"/>
      <c r="E80" s="20" t="n"/>
      <c r="F80" s="20" t="n"/>
      <c r="G80" s="20" t="n"/>
      <c r="H80" s="21">
        <f>IF($C80="L1+L2","L1",IF($C80="L2+L3","L2",IF($C80="L3+L4","L3",IF($C80="L1+L4","L1",""))))</f>
        <v/>
      </c>
      <c r="I80" s="21">
        <f>IF($C80="L1+L2","L2",IF($C80="L2+L3","L3",IF($C80="L3+L4","L4",IF($C80="L1+L4","L4",""))))</f>
        <v/>
      </c>
      <c r="J80" s="21">
        <f>IF($H80="","",IFERROR(INDEX(Offerte!$D$2:$D$200,MATCH($A80&amp;"|"&amp;$H80,Offerte!$L$2:$L$200,0)),0))</f>
        <v/>
      </c>
      <c r="K80" s="21">
        <f>IF($I80="","",IFERROR(INDEX(Offerte!$D$2:$D$200,MATCH($A80&amp;"|"&amp;$I80,Offerte!$L$2:$L$200,0)),0))</f>
        <v/>
      </c>
      <c r="L80" s="21">
        <f>IF($H80="","",IFERROR(INDEX(Offerte!$E$2:$E$200,MATCH($A80&amp;"|"&amp;$H80,Offerte!$L$2:$L$200,0)),0))</f>
        <v/>
      </c>
      <c r="M80" s="21">
        <f>IF($I80="","",IFERROR(INDEX(Offerte!$E$2:$E$200,MATCH($A80&amp;"|"&amp;$I80,Offerte!$L$2:$L$200,0)),0))</f>
        <v/>
      </c>
      <c r="N80" s="21">
        <f>IF($A80="","",IF(IFERROR(VALUE($D80),0)&lt;&gt;1,"NO",IF(AND(IFERROR(VALUE($J80),0)=1,IFERROR(VALUE($K80),0)=1,IFERROR(VALUE($L80),0)&gt;=Parametri!$B$2,IFERROR(VALUE($M80),0)&gt;=Parametri!$B$2,IFERROR(VALUE($F80),0)=1,IFERROR(VALUE($G80),0)=1,IFERROR(VALUE($E80),0)&gt;$U80),"SI","NO")))</f>
        <v/>
      </c>
      <c r="O80" s="21">
        <f>IF($N80="SI",IFERROR(30*(IFERROR(VALUE($E80),0)/MAX(SUMPRODUCT(MAX((Offerte!$C$2:$C$200=$H80)*(IFERROR(Offerte!$D$2:$D$200*1,0)=1)*(IFERROR(Offerte!$E$2:$E$200*1,0)&gt;=Parametri!$B$2)*IFERROR(Offerte!$F$2:$F$200*1,0))),SUMPRODUCT(MAX(($H$5:$H$80=$H80)*($N$5:$N$80="SI")*IFERROR($E$5:$E$80*1,0))),SUMPRODUCT(MAX(($I$5:$I$80=$H80)*($N$5:$N$80="SI")*IFERROR($E$5:$E$80*1,0))))),0),0)</f>
        <v/>
      </c>
      <c r="P80" s="21">
        <f>IF($N80="SI",IFERROR(30*(IFERROR(VALUE($E80),0)/MAX(SUMPRODUCT(MAX((Offerte!$C$2:$C$200=$I80)*(IFERROR(Offerte!$D$2:$D$200*1,0)=1)*(IFERROR(Offerte!$E$2:$E$200*1,0)&gt;=Parametri!$B$2)*IFERROR(Offerte!$F$2:$F$200*1,0))),SUMPRODUCT(MAX(($H$5:$H$80=$I80)*($N$5:$N$80="SI")*IFERROR($E$5:$E$80*1,0))),SUMPRODUCT(MAX(($I$5:$I$80=$I80)*($N$5:$N$80="SI")*IFERROR($E$5:$E$80*1,0))))),0),0)</f>
        <v/>
      </c>
      <c r="Q80" s="21">
        <f>IF($N80="SI",ROUND($L80+$M80+$O80+$P80,4),0)</f>
        <v/>
      </c>
      <c r="R80" s="21">
        <f>IF($A80="","",IF(IFERROR(VALUE($D80),0)&lt;&gt;1,"Non attiva",IF(OR(IFERROR(VALUE($J80),0)&lt;&gt;1,IFERROR(VALUE($K80),0)&lt;&gt;1),"Singoli non attivi",IF(OR(IFERROR(VALUE($L80),0)&lt;Parametri!$B$2,IFERROR(VALUE($M80),0)&lt;Parametri!$B$2),"Soglia non superata",IF(OR(IFERROR(VALUE($F80),0)&lt;&gt;1,IFERROR(VALUE($G80),0)&lt;&gt;1),"Buste/PEF non confermati",IF(IFERROR(VALUE($E80),0)&lt;=$U80,"Ribasso non migliorativo",""))))))</f>
        <v/>
      </c>
      <c r="S80" s="21">
        <f>IF($H80="","",IFERROR(INDEX(Offerte!$F$2:$F$200,MATCH($A80&amp;"|"&amp;$H80,Offerte!$L$2:$L$200,0)),0))</f>
        <v/>
      </c>
      <c r="T80" s="21">
        <f>IF($I80="","",IFERROR(INDEX(Offerte!$F$2:$F$200,MATCH($A80&amp;"|"&amp;$I80,Offerte!$L$2:$L$200,0)),0))</f>
        <v/>
      </c>
      <c r="U80" s="21">
        <f>IF($A80="","",ROUND((IFERROR(VALUE($S80),0)+IFERROR(VALUE($T80),0))/2,4))</f>
        <v/>
      </c>
      <c r="V80" s="21">
        <f>IF($A80="","",$C80&amp;"|"&amp;TEXT($Q80,"0.0000"))</f>
        <v/>
      </c>
      <c r="W80" s="21">
        <f>IF($A80="","",$C80&amp;"|"&amp;$A80)</f>
        <v/>
      </c>
    </row>
  </sheetData>
  <mergeCells count="2">
    <mergeCell ref="A2:H2"/>
    <mergeCell ref="A1:H1"/>
  </mergeCells>
  <conditionalFormatting sqref="N5:N80">
    <cfRule type="cellIs" priority="1" operator="equal" dxfId="2">
      <formula>"SI"</formula>
    </cfRule>
    <cfRule type="cellIs" priority="2" operator="equal" dxfId="0">
      <formula>"NO"</formula>
    </cfRule>
  </conditionalFormatting>
  <dataValidations count="3">
    <dataValidation sqref="C5:C80" showDropDown="0" showInputMessage="0" showErrorMessage="0" allowBlank="1" type="list">
      <formula1>"L1+L2,L2+L3,L3+L4,L1+L4"</formula1>
    </dataValidation>
    <dataValidation sqref="D5:D80 F5:F80 G5:G80" showDropDown="0" showInputMessage="0" showErrorMessage="0" allowBlank="1" type="list">
      <formula1>"1,0"</formula1>
    </dataValidation>
    <dataValidation sqref="E5:E80" showDropDown="0" showInputMessage="0" showErrorMessage="0" allowBlank="1" type="decimal" operator="between">
      <formula1>0</formula1>
      <formula2>100</formula2>
    </dataValidation>
  </dataValidations>
  <pageMargins left="0.25" right="0.25" top="0.5" bottom="0.5" header="0.5" footer="0.5"/>
  <pageSetup fitToHeight="0" fitToWidth="1"/>
  <tableParts count="1">
    <tablePart xmlns:r="http://schemas.openxmlformats.org/officeDocument/2006/relationships" r:id="rId1"/>
  </tableParts>
</worksheet>
</file>

<file path=xl/worksheets/sheet7.xml><?xml version="1.0" encoding="utf-8"?>
<worksheet xmlns="http://schemas.openxmlformats.org/spreadsheetml/2006/main">
  <sheetPr>
    <tabColor rgb="0000A6A6"/>
    <outlinePr summaryBelow="1" summaryRight="1"/>
    <pageSetUpPr fitToPage="1"/>
  </sheetPr>
  <dimension ref="A1:H34"/>
  <sheetViews>
    <sheetView showGridLines="0" tabSelected="0" workbookViewId="0">
      <pane ySplit="4" topLeftCell="A5" activePane="bottomLeft" state="frozen"/>
      <selection pane="bottomLeft" activeCell="A1" sqref="A1"/>
    </sheetView>
  </sheetViews>
  <sheetFormatPr baseColWidth="8" defaultRowHeight="15"/>
  <cols>
    <col width="24" customWidth="1" min="1" max="1"/>
    <col width="18" customWidth="1" min="2" max="2"/>
    <col width="18" customWidth="1" min="3" max="3"/>
    <col width="18" customWidth="1" min="4" max="4"/>
    <col width="18" customWidth="1" min="5" max="5"/>
    <col width="14" customWidth="1" min="6" max="6"/>
    <col width="34" customWidth="1" min="7" max="7"/>
    <col width="10" customWidth="1" min="8" max="8"/>
  </cols>
  <sheetData>
    <row r="1" ht="28" customHeight="1">
      <c r="A1" s="4" t="inlineStr">
        <is>
          <t>Scenario globale</t>
        </is>
      </c>
    </row>
    <row r="2">
      <c r="A2" s="5" t="inlineStr">
        <is>
          <t>Matrice operativa per confrontare singoli e combinatorie compatibili dentro Excel.</t>
        </is>
      </c>
    </row>
    <row r="4" ht="22" customHeight="1">
      <c r="A4" s="6" t="inlineStr">
        <is>
          <t>Migliori singoli per lotto</t>
        </is>
      </c>
    </row>
    <row r="5" ht="24" customHeight="1">
      <c r="A5" s="18" t="inlineStr">
        <is>
          <t>Lotto</t>
        </is>
      </c>
      <c r="B5" s="18" t="inlineStr">
        <is>
          <t>BidderId</t>
        </is>
      </c>
      <c r="C5" s="18" t="inlineStr">
        <is>
          <t>BidderNome</t>
        </is>
      </c>
      <c r="D5" s="18" t="inlineStr">
        <is>
          <t>Totale</t>
        </is>
      </c>
      <c r="E5" s="18" t="inlineStr">
        <is>
          <t>Tecnico</t>
        </is>
      </c>
      <c r="F5" s="18" t="inlineStr">
        <is>
          <t>Economico</t>
        </is>
      </c>
      <c r="G5" s="18" t="inlineStr">
        <is>
          <t>Warning</t>
        </is>
      </c>
      <c r="H5" s="18" t="inlineStr">
        <is>
          <t>Origine</t>
        </is>
      </c>
    </row>
    <row r="6">
      <c r="A6" s="21" t="inlineStr">
        <is>
          <t>L1</t>
        </is>
      </c>
      <c r="B6" s="21">
        <f>IF($D6=0,"",IFERROR(INDEX(Offerte!$A$2:$A$200,MATCH($A6&amp;"|"&amp;TEXT($D6,"0.0000"),Offerte!$M$2:$M$200,0)),""))</f>
        <v/>
      </c>
      <c r="C6" s="21">
        <f>IF($B6="","",IFERROR(INDEX(Offerte!$B$2:$B$200,MATCH($B6&amp;"|"&amp;$A6,Offerte!$L$2:$L$200,0)),""))</f>
        <v/>
      </c>
      <c r="D6" s="21">
        <f>SUMPRODUCT(MAX((Offerte!$C$2:$C$200=$A6)*(Offerte!$G$2:$G$200="SI")*Offerte!$J$2:$J$200))</f>
        <v/>
      </c>
      <c r="E6" s="21">
        <f>IF($B6="","",IFERROR(INDEX(Offerte!$E$2:$E$200,MATCH($B6&amp;"|"&amp;$A6,Offerte!$L$2:$L$200,0)),0))</f>
        <v/>
      </c>
      <c r="F6" s="21">
        <f>IF($B6="","",IFERROR(INDEX(Offerte!$I$2:$I$200,MATCH($B6&amp;"|"&amp;$A6,Offerte!$L$2:$L$200,0)),0))</f>
        <v/>
      </c>
      <c r="G6" s="21">
        <f>IF($B6="","Nessuna offerta ammessa","")</f>
        <v/>
      </c>
      <c r="H6" s="21" t="inlineStr">
        <is>
          <t>Singolo</t>
        </is>
      </c>
    </row>
    <row r="7">
      <c r="A7" s="21" t="inlineStr">
        <is>
          <t>L2</t>
        </is>
      </c>
      <c r="B7" s="21">
        <f>IF($D7=0,"",IFERROR(INDEX(Offerte!$A$2:$A$200,MATCH($A7&amp;"|"&amp;TEXT($D7,"0.0000"),Offerte!$M$2:$M$200,0)),""))</f>
        <v/>
      </c>
      <c r="C7" s="21">
        <f>IF($B7="","",IFERROR(INDEX(Offerte!$B$2:$B$200,MATCH($B7&amp;"|"&amp;$A7,Offerte!$L$2:$L$200,0)),""))</f>
        <v/>
      </c>
      <c r="D7" s="21">
        <f>SUMPRODUCT(MAX((Offerte!$C$2:$C$200=$A7)*(Offerte!$G$2:$G$200="SI")*Offerte!$J$2:$J$200))</f>
        <v/>
      </c>
      <c r="E7" s="21">
        <f>IF($B7="","",IFERROR(INDEX(Offerte!$E$2:$E$200,MATCH($B7&amp;"|"&amp;$A7,Offerte!$L$2:$L$200,0)),0))</f>
        <v/>
      </c>
      <c r="F7" s="21">
        <f>IF($B7="","",IFERROR(INDEX(Offerte!$I$2:$I$200,MATCH($B7&amp;"|"&amp;$A7,Offerte!$L$2:$L$200,0)),0))</f>
        <v/>
      </c>
      <c r="G7" s="21">
        <f>IF($B7="","Nessuna offerta ammessa","")</f>
        <v/>
      </c>
      <c r="H7" s="21" t="inlineStr">
        <is>
          <t>Singolo</t>
        </is>
      </c>
    </row>
    <row r="8">
      <c r="A8" s="21" t="inlineStr">
        <is>
          <t>L3</t>
        </is>
      </c>
      <c r="B8" s="21">
        <f>IF($D8=0,"",IFERROR(INDEX(Offerte!$A$2:$A$200,MATCH($A8&amp;"|"&amp;TEXT($D8,"0.0000"),Offerte!$M$2:$M$200,0)),""))</f>
        <v/>
      </c>
      <c r="C8" s="21">
        <f>IF($B8="","",IFERROR(INDEX(Offerte!$B$2:$B$200,MATCH($B8&amp;"|"&amp;$A8,Offerte!$L$2:$L$200,0)),""))</f>
        <v/>
      </c>
      <c r="D8" s="21">
        <f>SUMPRODUCT(MAX((Offerte!$C$2:$C$200=$A8)*(Offerte!$G$2:$G$200="SI")*Offerte!$J$2:$J$200))</f>
        <v/>
      </c>
      <c r="E8" s="21">
        <f>IF($B8="","",IFERROR(INDEX(Offerte!$E$2:$E$200,MATCH($B8&amp;"|"&amp;$A8,Offerte!$L$2:$L$200,0)),0))</f>
        <v/>
      </c>
      <c r="F8" s="21">
        <f>IF($B8="","",IFERROR(INDEX(Offerte!$I$2:$I$200,MATCH($B8&amp;"|"&amp;$A8,Offerte!$L$2:$L$200,0)),0))</f>
        <v/>
      </c>
      <c r="G8" s="21">
        <f>IF($B8="","Nessuna offerta ammessa","")</f>
        <v/>
      </c>
      <c r="H8" s="21" t="inlineStr">
        <is>
          <t>Singolo</t>
        </is>
      </c>
    </row>
    <row r="9">
      <c r="A9" s="21" t="inlineStr">
        <is>
          <t>L4</t>
        </is>
      </c>
      <c r="B9" s="21">
        <f>IF($D9=0,"",IFERROR(INDEX(Offerte!$A$2:$A$200,MATCH($A9&amp;"|"&amp;TEXT($D9,"0.0000"),Offerte!$M$2:$M$200,0)),""))</f>
        <v/>
      </c>
      <c r="C9" s="21">
        <f>IF($B9="","",IFERROR(INDEX(Offerte!$B$2:$B$200,MATCH($B9&amp;"|"&amp;$A9,Offerte!$L$2:$L$200,0)),""))</f>
        <v/>
      </c>
      <c r="D9" s="21">
        <f>SUMPRODUCT(MAX((Offerte!$C$2:$C$200=$A9)*(Offerte!$G$2:$G$200="SI")*Offerte!$J$2:$J$200))</f>
        <v/>
      </c>
      <c r="E9" s="21">
        <f>IF($B9="","",IFERROR(INDEX(Offerte!$E$2:$E$200,MATCH($B9&amp;"|"&amp;$A9,Offerte!$L$2:$L$200,0)),0))</f>
        <v/>
      </c>
      <c r="F9" s="21">
        <f>IF($B9="","",IFERROR(INDEX(Offerte!$I$2:$I$200,MATCH($B9&amp;"|"&amp;$A9,Offerte!$L$2:$L$200,0)),0))</f>
        <v/>
      </c>
      <c r="G9" s="21">
        <f>IF($B9="","Nessuna offerta ammessa","")</f>
        <v/>
      </c>
      <c r="H9" s="21" t="inlineStr">
        <is>
          <t>Singolo</t>
        </is>
      </c>
    </row>
    <row r="12" ht="22" customHeight="1">
      <c r="A12" s="6" t="inlineStr">
        <is>
          <t>Migliori combinatorie per coppia</t>
        </is>
      </c>
    </row>
    <row r="13" ht="24" customHeight="1">
      <c r="A13" s="18" t="inlineStr">
        <is>
          <t>Coppia</t>
        </is>
      </c>
      <c r="B13" s="18" t="inlineStr">
        <is>
          <t>BidderId</t>
        </is>
      </c>
      <c r="C13" s="18" t="inlineStr">
        <is>
          <t>BidderNome</t>
        </is>
      </c>
      <c r="D13" s="18" t="inlineStr">
        <is>
          <t>Totale</t>
        </is>
      </c>
      <c r="E13" s="18" t="inlineStr">
        <is>
          <t>Ammissibile</t>
        </is>
      </c>
      <c r="F13" s="18" t="inlineStr">
        <is>
          <t>Ribasso</t>
        </is>
      </c>
      <c r="G13" s="18" t="inlineStr">
        <is>
          <t>Note</t>
        </is>
      </c>
      <c r="H13" s="18" t="inlineStr">
        <is>
          <t>Origine</t>
        </is>
      </c>
    </row>
    <row r="14">
      <c r="A14" s="21" t="inlineStr">
        <is>
          <t>L1+L2</t>
        </is>
      </c>
      <c r="B14" s="21">
        <f>IF($D14=0,"",IFERROR(INDEX(Combinatorie!$A$5:$A$80,MATCH($A14&amp;"|"&amp;TEXT($D14,"0.0000"),Combinatorie!$V$5:$V$80,0)),""))</f>
        <v/>
      </c>
      <c r="C14" s="21">
        <f>IF($B14="","",IFERROR(INDEX(Combinatorie!$B$5:$B$80,MATCH($A14&amp;"|"&amp;$B14,Combinatorie!$W$5:$W$80,0)),""))</f>
        <v/>
      </c>
      <c r="D14" s="21">
        <f>SUMPRODUCT(MAX((Combinatorie!$C$5:$C$80=$A14)*(Combinatorie!$N$5:$N$80="SI")*Combinatorie!$Q$5:$Q$80))</f>
        <v/>
      </c>
      <c r="E14" s="21">
        <f>IF($B14="","NO","SI")</f>
        <v/>
      </c>
      <c r="F14" s="21">
        <f>IF($B14="","",IFERROR(INDEX(Combinatorie!$E$5:$E$80,MATCH($A14&amp;"|"&amp;$B14,Combinatorie!$W$5:$W$80,0)),0))</f>
        <v/>
      </c>
      <c r="G14" s="21">
        <f>IF($B14="","Nessuna combinatoria ammessa","")</f>
        <v/>
      </c>
      <c r="H14" s="21" t="inlineStr">
        <is>
          <t>Combinatoria</t>
        </is>
      </c>
    </row>
    <row r="15">
      <c r="A15" s="21" t="inlineStr">
        <is>
          <t>L2+L3</t>
        </is>
      </c>
      <c r="B15" s="21">
        <f>IF($D15=0,"",IFERROR(INDEX(Combinatorie!$A$5:$A$80,MATCH($A15&amp;"|"&amp;TEXT($D15,"0.0000"),Combinatorie!$V$5:$V$80,0)),""))</f>
        <v/>
      </c>
      <c r="C15" s="21">
        <f>IF($B15="","",IFERROR(INDEX(Combinatorie!$B$5:$B$80,MATCH($A15&amp;"|"&amp;$B15,Combinatorie!$W$5:$W$80,0)),""))</f>
        <v/>
      </c>
      <c r="D15" s="21">
        <f>SUMPRODUCT(MAX((Combinatorie!$C$5:$C$80=$A15)*(Combinatorie!$N$5:$N$80="SI")*Combinatorie!$Q$5:$Q$80))</f>
        <v/>
      </c>
      <c r="E15" s="21">
        <f>IF($B15="","NO","SI")</f>
        <v/>
      </c>
      <c r="F15" s="21">
        <f>IF($B15="","",IFERROR(INDEX(Combinatorie!$E$5:$E$80,MATCH($A15&amp;"|"&amp;$B15,Combinatorie!$W$5:$W$80,0)),0))</f>
        <v/>
      </c>
      <c r="G15" s="21">
        <f>IF($B15="","Nessuna combinatoria ammessa","")</f>
        <v/>
      </c>
      <c r="H15" s="21" t="inlineStr">
        <is>
          <t>Combinatoria</t>
        </is>
      </c>
    </row>
    <row r="16">
      <c r="A16" s="21" t="inlineStr">
        <is>
          <t>L3+L4</t>
        </is>
      </c>
      <c r="B16" s="21">
        <f>IF($D16=0,"",IFERROR(INDEX(Combinatorie!$A$5:$A$80,MATCH($A16&amp;"|"&amp;TEXT($D16,"0.0000"),Combinatorie!$V$5:$V$80,0)),""))</f>
        <v/>
      </c>
      <c r="C16" s="21">
        <f>IF($B16="","",IFERROR(INDEX(Combinatorie!$B$5:$B$80,MATCH($A16&amp;"|"&amp;$B16,Combinatorie!$W$5:$W$80,0)),""))</f>
        <v/>
      </c>
      <c r="D16" s="21">
        <f>SUMPRODUCT(MAX((Combinatorie!$C$5:$C$80=$A16)*(Combinatorie!$N$5:$N$80="SI")*Combinatorie!$Q$5:$Q$80))</f>
        <v/>
      </c>
      <c r="E16" s="21">
        <f>IF($B16="","NO","SI")</f>
        <v/>
      </c>
      <c r="F16" s="21">
        <f>IF($B16="","",IFERROR(INDEX(Combinatorie!$E$5:$E$80,MATCH($A16&amp;"|"&amp;$B16,Combinatorie!$W$5:$W$80,0)),0))</f>
        <v/>
      </c>
      <c r="G16" s="21">
        <f>IF($B16="","Nessuna combinatoria ammessa","")</f>
        <v/>
      </c>
      <c r="H16" s="21" t="inlineStr">
        <is>
          <t>Combinatoria</t>
        </is>
      </c>
    </row>
    <row r="17">
      <c r="A17" s="21" t="inlineStr">
        <is>
          <t>L1+L4</t>
        </is>
      </c>
      <c r="B17" s="21">
        <f>IF($D17=0,"",IFERROR(INDEX(Combinatorie!$A$5:$A$80,MATCH($A17&amp;"|"&amp;TEXT($D17,"0.0000"),Combinatorie!$V$5:$V$80,0)),""))</f>
        <v/>
      </c>
      <c r="C17" s="21">
        <f>IF($B17="","",IFERROR(INDEX(Combinatorie!$B$5:$B$80,MATCH($A17&amp;"|"&amp;$B17,Combinatorie!$W$5:$W$80,0)),""))</f>
        <v/>
      </c>
      <c r="D17" s="21">
        <f>SUMPRODUCT(MAX((Combinatorie!$C$5:$C$80=$A17)*(Combinatorie!$N$5:$N$80="SI")*Combinatorie!$Q$5:$Q$80))</f>
        <v/>
      </c>
      <c r="E17" s="21">
        <f>IF($B17="","NO","SI")</f>
        <v/>
      </c>
      <c r="F17" s="21">
        <f>IF($B17="","",IFERROR(INDEX(Combinatorie!$E$5:$E$80,MATCH($A17&amp;"|"&amp;$B17,Combinatorie!$W$5:$W$80,0)),0))</f>
        <v/>
      </c>
      <c r="G17" s="21">
        <f>IF($B17="","Nessuna combinatoria ammessa","")</f>
        <v/>
      </c>
      <c r="H17" s="21" t="inlineStr">
        <is>
          <t>Combinatoria</t>
        </is>
      </c>
    </row>
    <row r="20" ht="22" customHeight="1">
      <c r="A20" s="6" t="inlineStr">
        <is>
          <t>Matrice scenario indicativa</t>
        </is>
      </c>
    </row>
    <row r="21" ht="24" customHeight="1">
      <c r="A21" s="18" t="inlineStr">
        <is>
          <t>Scenario</t>
        </is>
      </c>
      <c r="B21" s="18" t="inlineStr">
        <is>
          <t>L1</t>
        </is>
      </c>
      <c r="C21" s="18" t="inlineStr">
        <is>
          <t>L2</t>
        </is>
      </c>
      <c r="D21" s="18" t="inlineStr">
        <is>
          <t>L3</t>
        </is>
      </c>
      <c r="E21" s="18" t="inlineStr">
        <is>
          <t>L4</t>
        </is>
      </c>
      <c r="F21" s="18" t="inlineStr">
        <is>
          <t>Totale</t>
        </is>
      </c>
      <c r="G21" s="18" t="inlineStr">
        <is>
          <t>Nota</t>
        </is>
      </c>
      <c r="H21" s="18" t="inlineStr">
        <is>
          <t>Rank</t>
        </is>
      </c>
    </row>
    <row r="22">
      <c r="A22" s="10" t="inlineStr">
        <is>
          <t>Tutti singoli</t>
        </is>
      </c>
      <c r="B22" s="10" t="inlineStr">
        <is>
          <t>Singolo L1</t>
        </is>
      </c>
      <c r="C22" s="10" t="inlineStr">
        <is>
          <t>Singolo L2</t>
        </is>
      </c>
      <c r="D22" s="10" t="inlineStr">
        <is>
          <t>Singolo L3</t>
        </is>
      </c>
      <c r="E22" s="10" t="inlineStr">
        <is>
          <t>Singolo L4</t>
        </is>
      </c>
      <c r="F22" s="10">
        <f>SUM($D$6:$D$9)</f>
        <v/>
      </c>
      <c r="G22" s="10">
        <f>IF($F22=0,"Nessun dato sufficiente",IF($H22=1,"Scenario migliore nella matrice",""))</f>
        <v/>
      </c>
      <c r="H22" s="10">
        <f>IF($F22=0,"",RANK($F22,$F$22:$F$28,0))</f>
        <v/>
      </c>
    </row>
    <row r="23">
      <c r="A23" s="10" t="inlineStr">
        <is>
          <t>L1+L2 + singoli</t>
        </is>
      </c>
      <c r="B23" s="10" t="inlineStr">
        <is>
          <t>Combo L1+L2</t>
        </is>
      </c>
      <c r="C23" s="10" t="inlineStr">
        <is>
          <t>Combo L1+L2</t>
        </is>
      </c>
      <c r="D23" s="10" t="inlineStr">
        <is>
          <t>Singolo L3</t>
        </is>
      </c>
      <c r="E23" s="10" t="inlineStr">
        <is>
          <t>Singolo L4</t>
        </is>
      </c>
      <c r="F23" s="10">
        <f>$D$14+$D$8+$D$9</f>
        <v/>
      </c>
      <c r="G23" s="10">
        <f>IF($F23=0,"Nessun dato sufficiente",IF($H23=1,"Scenario migliore nella matrice",""))</f>
        <v/>
      </c>
      <c r="H23" s="10">
        <f>IF($F23=0,"",RANK($F23,$F$22:$F$28,0))</f>
        <v/>
      </c>
    </row>
    <row r="24">
      <c r="A24" s="10" t="inlineStr">
        <is>
          <t>L2+L3 + singoli</t>
        </is>
      </c>
      <c r="B24" s="10" t="inlineStr">
        <is>
          <t>Singolo L1</t>
        </is>
      </c>
      <c r="C24" s="10" t="inlineStr">
        <is>
          <t>Combo L2+L3</t>
        </is>
      </c>
      <c r="D24" s="10" t="inlineStr">
        <is>
          <t>Combo L2+L3</t>
        </is>
      </c>
      <c r="E24" s="10" t="inlineStr">
        <is>
          <t>Singolo L4</t>
        </is>
      </c>
      <c r="F24" s="10">
        <f>$D$6+$D$15+$D$9</f>
        <v/>
      </c>
      <c r="G24" s="10">
        <f>IF($F24=0,"Nessun dato sufficiente",IF($H24=1,"Scenario migliore nella matrice",""))</f>
        <v/>
      </c>
      <c r="H24" s="10">
        <f>IF($F24=0,"",RANK($F24,$F$22:$F$28,0))</f>
        <v/>
      </c>
    </row>
    <row r="25">
      <c r="A25" s="10" t="inlineStr">
        <is>
          <t>L3+L4 + singoli</t>
        </is>
      </c>
      <c r="B25" s="10" t="inlineStr">
        <is>
          <t>Singolo L1</t>
        </is>
      </c>
      <c r="C25" s="10" t="inlineStr">
        <is>
          <t>Singolo L2</t>
        </is>
      </c>
      <c r="D25" s="10" t="inlineStr">
        <is>
          <t>Combo L3+L4</t>
        </is>
      </c>
      <c r="E25" s="10" t="inlineStr">
        <is>
          <t>Combo L3+L4</t>
        </is>
      </c>
      <c r="F25" s="10">
        <f>$D$6+$D$7+$D$16</f>
        <v/>
      </c>
      <c r="G25" s="10">
        <f>IF($F25=0,"Nessun dato sufficiente",IF($H25=1,"Scenario migliore nella matrice",""))</f>
        <v/>
      </c>
      <c r="H25" s="10">
        <f>IF($F25=0,"",RANK($F25,$F$22:$F$28,0))</f>
        <v/>
      </c>
    </row>
    <row r="26">
      <c r="A26" s="10" t="inlineStr">
        <is>
          <t>L1+L4 + singoli</t>
        </is>
      </c>
      <c r="B26" s="10" t="inlineStr">
        <is>
          <t>Combo L1+L4</t>
        </is>
      </c>
      <c r="C26" s="10" t="inlineStr">
        <is>
          <t>Singolo L2</t>
        </is>
      </c>
      <c r="D26" s="10" t="inlineStr">
        <is>
          <t>Singolo L3</t>
        </is>
      </c>
      <c r="E26" s="10" t="inlineStr">
        <is>
          <t>Combo L1+L4</t>
        </is>
      </c>
      <c r="F26" s="10">
        <f>$D$17+$D$7+$D$8</f>
        <v/>
      </c>
      <c r="G26" s="10">
        <f>IF($F26=0,"Nessun dato sufficiente",IF($H26=1,"Scenario migliore nella matrice",""))</f>
        <v/>
      </c>
      <c r="H26" s="10">
        <f>IF($F26=0,"",RANK($F26,$F$22:$F$28,0))</f>
        <v/>
      </c>
    </row>
    <row r="27">
      <c r="A27" s="10" t="inlineStr">
        <is>
          <t>L1+L2 e L3+L4</t>
        </is>
      </c>
      <c r="B27" s="10" t="inlineStr">
        <is>
          <t>Combo L1+L2</t>
        </is>
      </c>
      <c r="C27" s="10" t="inlineStr">
        <is>
          <t>Combo L1+L2</t>
        </is>
      </c>
      <c r="D27" s="10" t="inlineStr">
        <is>
          <t>Combo L3+L4</t>
        </is>
      </c>
      <c r="E27" s="10" t="inlineStr">
        <is>
          <t>Combo L3+L4</t>
        </is>
      </c>
      <c r="F27" s="10">
        <f>$D$14+$D$16</f>
        <v/>
      </c>
      <c r="G27" s="10">
        <f>IF($F27=0,"Nessun dato sufficiente",IF($H27=1,"Scenario migliore nella matrice",""))</f>
        <v/>
      </c>
      <c r="H27" s="10">
        <f>IF($F27=0,"",RANK($F27,$F$22:$F$28,0))</f>
        <v/>
      </c>
    </row>
    <row r="28">
      <c r="A28" s="10" t="inlineStr">
        <is>
          <t>L2+L3 e L1+L4</t>
        </is>
      </c>
      <c r="B28" s="10" t="inlineStr">
        <is>
          <t>Combo L1+L4</t>
        </is>
      </c>
      <c r="C28" s="10" t="inlineStr">
        <is>
          <t>Combo L2+L3</t>
        </is>
      </c>
      <c r="D28" s="10" t="inlineStr">
        <is>
          <t>Combo L2+L3</t>
        </is>
      </c>
      <c r="E28" s="10" t="inlineStr">
        <is>
          <t>Combo L1+L4</t>
        </is>
      </c>
      <c r="F28" s="10">
        <f>$D$15+$D$17</f>
        <v/>
      </c>
      <c r="G28" s="10">
        <f>IF($F28=0,"Nessun dato sufficiente",IF($H28=1,"Scenario migliore nella matrice",""))</f>
        <v/>
      </c>
      <c r="H28" s="10">
        <f>IF($F28=0,"",RANK($F28,$F$22:$F$28,0))</f>
        <v/>
      </c>
    </row>
    <row r="31" ht="22" customHeight="1">
      <c r="A31" s="6" t="inlineStr">
        <is>
          <t>Limiti della matrice Excel</t>
        </is>
      </c>
    </row>
    <row r="32">
      <c r="A32" s="17" t="inlineStr">
        <is>
          <t>La matrice è pensata per analisi operative rapide: considera singoli e coppie compatibili principali.</t>
        </is>
      </c>
    </row>
    <row r="33">
      <c r="A33" s="28" t="inlineStr">
        <is>
          <t>Per warning documentali avanzati, persistenza JSON, simulazioni batch e deroga al limite di due lotti resta più affidabile la web app.</t>
        </is>
      </c>
    </row>
    <row r="34">
      <c r="A34" s="28" t="inlineStr">
        <is>
          <t>Se una combinatoria non compare, controlla foglio Combinatorie: singoli attivi, soglia, buste, PEF e ribasso migliorativo.</t>
        </is>
      </c>
    </row>
  </sheetData>
  <mergeCells count="9">
    <mergeCell ref="A12:H12"/>
    <mergeCell ref="A4:H4"/>
    <mergeCell ref="A20:H20"/>
    <mergeCell ref="A2:H2"/>
    <mergeCell ref="A33:H33"/>
    <mergeCell ref="A1:H1"/>
    <mergeCell ref="A32:H32"/>
    <mergeCell ref="A31:H31"/>
    <mergeCell ref="A34:H34"/>
  </mergeCells>
  <conditionalFormatting sqref="H22:H28">
    <cfRule type="cellIs" priority="1" operator="equal" dxfId="2">
      <formula>1</formula>
    </cfRule>
  </conditionalFormatting>
  <pageMargins left="0.25" right="0.25" top="0.5" bottom="0.5" header="0.5" footer="0.5"/>
  <pageSetup fitToHeight="0" fitToWidth="1"/>
</worksheet>
</file>

<file path=xl/worksheets/sheet8.xml><?xml version="1.0" encoding="utf-8"?>
<worksheet xmlns="http://schemas.openxmlformats.org/spreadsheetml/2006/main">
  <sheetPr codeName="Foglio5">
    <tabColor rgb="00A5A5A5"/>
    <outlinePr summaryBelow="1" summaryRight="1"/>
    <pageSetUpPr fitToPage="1"/>
  </sheetPr>
  <dimension ref="A1:H30"/>
  <sheetViews>
    <sheetView showGridLines="0" tabSelected="0" workbookViewId="0">
      <pane ySplit="1" topLeftCell="A2" activePane="bottomLeft" state="frozen"/>
      <selection pane="bottomLeft" activeCell="A1" sqref="A1"/>
    </sheetView>
  </sheetViews>
  <sheetFormatPr baseColWidth="10" defaultColWidth="8.83203125" defaultRowHeight="15"/>
  <cols>
    <col width="18" customWidth="1" min="1" max="1"/>
    <col width="16" customWidth="1" min="2" max="2"/>
    <col width="24" customWidth="1" min="3" max="3"/>
    <col width="14" customWidth="1" min="4" max="4"/>
    <col width="14" customWidth="1" min="5" max="5"/>
    <col width="14" customWidth="1" min="6" max="6"/>
    <col width="14" customWidth="1" min="7" max="7"/>
    <col width="30" customWidth="1" min="8" max="8"/>
  </cols>
  <sheetData>
    <row r="1" ht="24" customHeight="1">
      <c r="A1" s="18" t="inlineStr">
        <is>
          <t>Lotto</t>
        </is>
      </c>
      <c r="B1" s="18" t="inlineStr">
        <is>
          <t>BidderId</t>
        </is>
      </c>
      <c r="C1" s="18" t="inlineStr">
        <is>
          <t>BidderNome</t>
        </is>
      </c>
      <c r="D1" s="18" t="inlineStr">
        <is>
          <t>Tecnico</t>
        </is>
      </c>
      <c r="E1" s="18" t="inlineStr">
        <is>
          <t>Economico</t>
        </is>
      </c>
      <c r="F1" s="18" t="inlineStr">
        <is>
          <t>Totale</t>
        </is>
      </c>
      <c r="G1" s="18" t="inlineStr">
        <is>
          <t>Ammissibile</t>
        </is>
      </c>
      <c r="H1" s="18" t="inlineStr">
        <is>
          <t>Esito</t>
        </is>
      </c>
    </row>
    <row r="2">
      <c r="A2" s="21" t="inlineStr">
        <is>
          <t>L1</t>
        </is>
      </c>
      <c r="B2" s="21" t="n"/>
      <c r="C2" s="21" t="n"/>
      <c r="D2" s="21" t="n"/>
      <c r="E2" s="21" t="n"/>
      <c r="F2" s="21" t="n"/>
      <c r="G2" s="21" t="n"/>
      <c r="H2" s="21" t="n"/>
    </row>
    <row r="3">
      <c r="A3" s="21" t="inlineStr">
        <is>
          <t>L2</t>
        </is>
      </c>
      <c r="B3" s="21" t="n"/>
      <c r="C3" s="21" t="n"/>
      <c r="D3" s="21" t="n"/>
      <c r="E3" s="21" t="n"/>
      <c r="F3" s="21" t="n"/>
      <c r="G3" s="21" t="n"/>
      <c r="H3" s="21" t="n"/>
    </row>
    <row r="4">
      <c r="A4" s="21" t="inlineStr">
        <is>
          <t>L3</t>
        </is>
      </c>
      <c r="B4" s="21" t="n"/>
      <c r="C4" s="21" t="n"/>
      <c r="D4" s="21" t="n"/>
      <c r="E4" s="21" t="n"/>
      <c r="F4" s="21" t="n"/>
      <c r="G4" s="21" t="n"/>
      <c r="H4" s="21" t="n"/>
    </row>
    <row r="5">
      <c r="A5" s="21" t="inlineStr">
        <is>
          <t>L4</t>
        </is>
      </c>
      <c r="B5" s="21" t="n"/>
      <c r="C5" s="21" t="n"/>
      <c r="D5" s="21" t="n"/>
      <c r="E5" s="21" t="n"/>
      <c r="F5" s="21" t="n"/>
      <c r="G5" s="21" t="n"/>
      <c r="H5" s="21" t="n"/>
    </row>
    <row r="6">
      <c r="A6" s="21" t="n"/>
      <c r="B6" s="21" t="n"/>
      <c r="C6" s="21" t="n"/>
      <c r="D6" s="21" t="n"/>
      <c r="E6" s="21" t="n"/>
      <c r="F6" s="21" t="n"/>
      <c r="G6" s="21" t="n"/>
      <c r="H6" s="21" t="n"/>
    </row>
    <row r="7">
      <c r="A7" s="21" t="n"/>
      <c r="B7" s="21" t="n"/>
      <c r="C7" s="21" t="n"/>
      <c r="D7" s="21" t="n"/>
      <c r="E7" s="21" t="n"/>
      <c r="F7" s="21" t="n"/>
      <c r="G7" s="21" t="n"/>
      <c r="H7" s="21" t="n"/>
    </row>
    <row r="8">
      <c r="A8" s="21" t="inlineStr">
        <is>
          <t>Combinatorie principali</t>
        </is>
      </c>
      <c r="B8" s="21" t="n"/>
      <c r="C8" s="21" t="n"/>
      <c r="D8" s="21" t="n"/>
      <c r="E8" s="21" t="n"/>
      <c r="F8" s="21" t="n"/>
      <c r="G8" s="21" t="n"/>
      <c r="H8" s="21" t="n"/>
    </row>
    <row r="9">
      <c r="A9" s="21" t="inlineStr">
        <is>
          <t>Combinazione</t>
        </is>
      </c>
      <c r="B9" s="21" t="inlineStr">
        <is>
          <t>Ammissibile</t>
        </is>
      </c>
      <c r="C9" s="21" t="inlineStr">
        <is>
          <t>Note</t>
        </is>
      </c>
      <c r="D9" s="21" t="n"/>
      <c r="E9" s="21" t="n"/>
      <c r="F9" s="21" t="n"/>
      <c r="G9" s="21" t="n"/>
      <c r="H9" s="21" t="n"/>
    </row>
    <row r="10">
      <c r="A10" s="21" t="inlineStr">
        <is>
          <t>L1+L2</t>
        </is>
      </c>
      <c r="B10" s="21" t="n"/>
      <c r="C10" s="21" t="n"/>
      <c r="D10" s="21" t="n"/>
      <c r="E10" s="21" t="n"/>
      <c r="F10" s="21" t="n"/>
      <c r="G10" s="21" t="n"/>
      <c r="H10" s="21" t="n"/>
    </row>
    <row r="11">
      <c r="A11" s="21" t="inlineStr">
        <is>
          <t>L2+L3</t>
        </is>
      </c>
      <c r="B11" s="21" t="n"/>
      <c r="C11" s="21" t="n"/>
      <c r="D11" s="21" t="n"/>
      <c r="E11" s="21" t="n"/>
      <c r="F11" s="21" t="n"/>
      <c r="G11" s="21" t="n"/>
      <c r="H11" s="21" t="n"/>
    </row>
    <row r="12">
      <c r="A12" s="21" t="inlineStr">
        <is>
          <t>L3+L4</t>
        </is>
      </c>
      <c r="B12" s="21" t="n"/>
      <c r="C12" s="21" t="n"/>
      <c r="D12" s="21" t="n"/>
      <c r="E12" s="21" t="n"/>
      <c r="F12" s="21" t="n"/>
      <c r="G12" s="21" t="n"/>
      <c r="H12" s="21" t="n"/>
    </row>
    <row r="13">
      <c r="A13" s="21" t="inlineStr">
        <is>
          <t>L1+L4</t>
        </is>
      </c>
      <c r="B13" s="21" t="n"/>
      <c r="C13" s="21" t="n"/>
      <c r="D13" s="21" t="n"/>
      <c r="E13" s="21" t="n"/>
      <c r="F13" s="21" t="n"/>
      <c r="G13" s="21" t="n"/>
      <c r="H13" s="21" t="n"/>
    </row>
    <row r="14">
      <c r="A14" s="21" t="n"/>
      <c r="B14" s="21" t="n"/>
      <c r="C14" s="21" t="n"/>
      <c r="D14" s="21" t="n"/>
      <c r="E14" s="21" t="n"/>
      <c r="F14" s="21" t="n"/>
      <c r="G14" s="21" t="n"/>
      <c r="H14" s="21" t="n"/>
    </row>
    <row r="15">
      <c r="A15" s="21" t="n"/>
      <c r="B15" s="21" t="n"/>
      <c r="C15" s="21" t="n"/>
      <c r="D15" s="21" t="n"/>
      <c r="E15" s="21" t="n"/>
      <c r="F15" s="21" t="n"/>
      <c r="G15" s="21" t="n"/>
      <c r="H15" s="21" t="n"/>
    </row>
    <row r="16">
      <c r="A16" s="21" t="n"/>
      <c r="B16" s="21" t="n"/>
      <c r="C16" s="21" t="n"/>
      <c r="D16" s="21" t="n"/>
      <c r="E16" s="21" t="n"/>
      <c r="F16" s="21" t="n"/>
      <c r="G16" s="21" t="n"/>
      <c r="H16" s="21" t="n"/>
    </row>
    <row r="17">
      <c r="A17" s="21" t="n"/>
      <c r="B17" s="21" t="n"/>
      <c r="C17" s="21" t="n"/>
      <c r="D17" s="21" t="n"/>
      <c r="E17" s="21" t="n"/>
      <c r="F17" s="21" t="n"/>
      <c r="G17" s="21" t="n"/>
      <c r="H17" s="21" t="n"/>
    </row>
    <row r="18">
      <c r="A18" s="21" t="n"/>
      <c r="B18" s="21" t="n"/>
      <c r="C18" s="21" t="n"/>
      <c r="D18" s="21" t="n"/>
      <c r="E18" s="21" t="n"/>
      <c r="F18" s="21" t="n"/>
      <c r="G18" s="21" t="n"/>
      <c r="H18" s="21" t="n"/>
    </row>
    <row r="19">
      <c r="A19" s="21" t="n"/>
      <c r="B19" s="21" t="n"/>
      <c r="C19" s="21" t="n"/>
      <c r="D19" s="21" t="n"/>
      <c r="E19" s="21" t="n"/>
      <c r="F19" s="21" t="n"/>
      <c r="G19" s="21" t="n"/>
      <c r="H19" s="21" t="n"/>
    </row>
    <row r="20">
      <c r="A20" s="21" t="n"/>
      <c r="B20" s="21" t="n"/>
      <c r="C20" s="21" t="n"/>
      <c r="D20" s="21" t="n"/>
      <c r="E20" s="21" t="n"/>
      <c r="F20" s="21" t="n"/>
      <c r="G20" s="21" t="n"/>
      <c r="H20" s="21" t="n"/>
    </row>
    <row r="21">
      <c r="A21" s="21" t="n"/>
      <c r="B21" s="21" t="n"/>
      <c r="C21" s="21" t="n"/>
      <c r="D21" s="21" t="n"/>
      <c r="E21" s="21" t="n"/>
      <c r="F21" s="21" t="n"/>
      <c r="G21" s="21" t="n"/>
      <c r="H21" s="21" t="n"/>
    </row>
    <row r="22">
      <c r="A22" s="21" t="n"/>
      <c r="B22" s="21" t="n"/>
      <c r="C22" s="21" t="n"/>
      <c r="D22" s="21" t="n"/>
      <c r="E22" s="21" t="n"/>
      <c r="F22" s="21" t="n"/>
      <c r="G22" s="21" t="n"/>
      <c r="H22" s="21" t="n"/>
    </row>
    <row r="23">
      <c r="A23" s="21" t="n"/>
      <c r="B23" s="21" t="n"/>
      <c r="C23" s="21" t="n"/>
      <c r="D23" s="21" t="n"/>
      <c r="E23" s="21" t="n"/>
      <c r="F23" s="21" t="n"/>
      <c r="G23" s="21" t="n"/>
      <c r="H23" s="21" t="n"/>
    </row>
    <row r="24">
      <c r="A24" s="21" t="n"/>
      <c r="B24" s="21" t="n"/>
      <c r="C24" s="21" t="n"/>
      <c r="D24" s="21" t="n"/>
      <c r="E24" s="21" t="n"/>
      <c r="F24" s="21" t="n"/>
      <c r="G24" s="21" t="n"/>
      <c r="H24" s="21" t="n"/>
    </row>
    <row r="25">
      <c r="A25" s="21" t="n"/>
      <c r="B25" s="21" t="n"/>
      <c r="C25" s="21" t="n"/>
      <c r="D25" s="21" t="n"/>
      <c r="E25" s="21" t="n"/>
      <c r="F25" s="21" t="n"/>
      <c r="G25" s="21" t="n"/>
      <c r="H25" s="21" t="n"/>
    </row>
    <row r="26">
      <c r="A26" s="21" t="n"/>
      <c r="B26" s="21" t="n"/>
      <c r="C26" s="21" t="n"/>
      <c r="D26" s="21" t="n"/>
      <c r="E26" s="21" t="n"/>
      <c r="F26" s="21" t="n"/>
      <c r="G26" s="21" t="n"/>
      <c r="H26" s="21" t="n"/>
    </row>
    <row r="27">
      <c r="A27" s="21" t="n"/>
      <c r="B27" s="21" t="n"/>
      <c r="C27" s="21" t="n"/>
      <c r="D27" s="21" t="n"/>
      <c r="E27" s="21" t="n"/>
      <c r="F27" s="21" t="n"/>
      <c r="G27" s="21" t="n"/>
      <c r="H27" s="21" t="n"/>
    </row>
    <row r="28">
      <c r="A28" s="21" t="n"/>
      <c r="B28" s="21" t="n"/>
      <c r="C28" s="21" t="n"/>
      <c r="D28" s="21" t="n"/>
      <c r="E28" s="21" t="n"/>
      <c r="F28" s="21" t="n"/>
      <c r="G28" s="21" t="n"/>
      <c r="H28" s="21" t="n"/>
    </row>
    <row r="29">
      <c r="A29" s="21" t="n"/>
      <c r="B29" s="21" t="n"/>
      <c r="C29" s="21" t="n"/>
      <c r="D29" s="21" t="n"/>
      <c r="E29" s="21" t="n"/>
      <c r="F29" s="21" t="n"/>
      <c r="G29" s="21" t="n"/>
      <c r="H29" s="21" t="n"/>
    </row>
    <row r="30">
      <c r="A30" s="21" t="n"/>
      <c r="B30" s="21" t="n"/>
      <c r="C30" s="21" t="n"/>
      <c r="D30" s="21" t="n"/>
      <c r="E30" s="21" t="n"/>
      <c r="F30" s="21" t="n"/>
      <c r="G30" s="21" t="n"/>
      <c r="H30" s="21" t="n"/>
    </row>
  </sheetData>
  <conditionalFormatting sqref="D2:D200">
    <cfRule type="cellIs" priority="3" operator="equal" dxfId="0">
      <formula>"NO"</formula>
    </cfRule>
    <cfRule type="cellIs" priority="4" operator="equal" dxfId="2">
      <formula>"SI"</formula>
    </cfRule>
  </conditionalFormatting>
  <pageMargins left="0.25" right="0.25" top="0.5" bottom="0.5" header="0.5" footer="0.5"/>
  <pageSetup fitToHeight="0" fitToWidth="1"/>
</worksheet>
</file>

<file path=xl/worksheets/sheet9.xml><?xml version="1.0" encoding="utf-8"?>
<worksheet xmlns="http://schemas.openxmlformats.org/spreadsheetml/2006/main">
  <sheetPr codeName="Foglio6">
    <tabColor rgb="007030A0"/>
    <outlinePr summaryBelow="1" summaryRight="1"/>
    <pageSetUpPr fitToPage="1"/>
  </sheetPr>
  <dimension ref="A1:J8"/>
  <sheetViews>
    <sheetView showGridLines="0" tabSelected="0" workbookViewId="0">
      <pane ySplit="1" topLeftCell="A2" activePane="bottomLeft" state="frozen"/>
      <selection pane="bottomLeft" activeCell="A1" sqref="A1"/>
    </sheetView>
  </sheetViews>
  <sheetFormatPr baseColWidth="10" defaultColWidth="8.83203125" defaultRowHeight="15"/>
  <cols>
    <col width="18" customWidth="1" min="1" max="1"/>
    <col width="22" customWidth="1" min="2" max="2"/>
    <col width="12" customWidth="1" min="3" max="3"/>
    <col width="16" customWidth="1" min="4" max="4"/>
    <col width="12" customWidth="1" min="5" max="5"/>
    <col width="34" customWidth="1" min="6" max="6"/>
    <col width="14" customWidth="1" min="7" max="7"/>
    <col width="34" customWidth="1" min="8" max="8"/>
    <col width="18" customWidth="1" min="9" max="9"/>
    <col width="14" customWidth="1" min="10" max="10"/>
  </cols>
  <sheetData>
    <row r="1" ht="24" customHeight="1">
      <c r="A1" s="18" t="inlineStr">
        <is>
          <t>Caso</t>
        </is>
      </c>
      <c r="B1" s="18" t="inlineStr">
        <is>
          <t>Scenario</t>
        </is>
      </c>
      <c r="C1" s="18" t="inlineStr">
        <is>
          <t>LotId</t>
        </is>
      </c>
      <c r="D1" s="18" t="inlineStr">
        <is>
          <t>ExpectedTotal</t>
        </is>
      </c>
      <c r="E1" s="18" t="inlineStr">
        <is>
          <t>Tolerance</t>
        </is>
      </c>
      <c r="F1" s="18" t="inlineStr">
        <is>
          <t>WebSource</t>
        </is>
      </c>
      <c r="G1" s="18" t="inlineStr">
        <is>
          <t>VerifiedAt</t>
        </is>
      </c>
      <c r="H1" s="18" t="inlineStr">
        <is>
          <t>Note</t>
        </is>
      </c>
      <c r="I1" s="18" t="inlineStr">
        <is>
          <t>Input expected</t>
        </is>
      </c>
      <c r="J1" s="18" t="inlineStr">
        <is>
          <t>Valore</t>
        </is>
      </c>
    </row>
    <row r="2">
      <c r="A2" s="10" t="inlineStr">
        <is>
          <t>G01</t>
        </is>
      </c>
      <c r="B2" s="10" t="inlineStr">
        <is>
          <t>MERCATO_REALISTICO</t>
        </is>
      </c>
      <c r="C2" s="10" t="inlineStr">
        <is>
          <t>L1</t>
        </is>
      </c>
      <c r="D2" s="10" t="inlineStr">
        <is>
          <t>0</t>
        </is>
      </c>
      <c r="E2" s="10" t="inlineStr">
        <is>
          <t>0.05</t>
        </is>
      </c>
      <c r="F2" s="10" t="inlineStr">
        <is>
          <t>https://gare-lotti-milanesi.pages.dev</t>
        </is>
      </c>
      <c r="G2" s="10" t="inlineStr">
        <is>
          <t>2026-05-25</t>
        </is>
      </c>
      <c r="H2" s="10" t="inlineStr">
        <is>
          <t>Da compilare con output web</t>
        </is>
      </c>
      <c r="I2" s="10" t="inlineStr">
        <is>
          <t>Web L1</t>
        </is>
      </c>
      <c r="J2" s="10" t="n">
        <v>0</v>
      </c>
    </row>
    <row r="3">
      <c r="A3" s="10" t="inlineStr">
        <is>
          <t>G02</t>
        </is>
      </c>
      <c r="B3" s="10" t="inlineStr">
        <is>
          <t>MERCATO_REALISTICO</t>
        </is>
      </c>
      <c r="C3" s="10" t="inlineStr">
        <is>
          <t>L2</t>
        </is>
      </c>
      <c r="D3" s="10" t="inlineStr">
        <is>
          <t>0</t>
        </is>
      </c>
      <c r="E3" s="10" t="inlineStr">
        <is>
          <t>0.05</t>
        </is>
      </c>
      <c r="F3" s="10" t="inlineStr">
        <is>
          <t>https://gare-lotti-milanesi.pages.dev</t>
        </is>
      </c>
      <c r="G3" s="10" t="inlineStr">
        <is>
          <t>2026-05-25</t>
        </is>
      </c>
      <c r="H3" s="10" t="inlineStr">
        <is>
          <t>Da compilare con output web</t>
        </is>
      </c>
      <c r="I3" s="10" t="inlineStr">
        <is>
          <t>Web L2</t>
        </is>
      </c>
      <c r="J3" s="10" t="n">
        <v>0</v>
      </c>
    </row>
    <row r="4">
      <c r="A4" s="10" t="inlineStr">
        <is>
          <t>G03</t>
        </is>
      </c>
      <c r="B4" s="10" t="inlineStr">
        <is>
          <t>TECNOLOGIA_FLOTTA</t>
        </is>
      </c>
      <c r="C4" s="10" t="inlineStr">
        <is>
          <t>L3</t>
        </is>
      </c>
      <c r="D4" s="10" t="inlineStr">
        <is>
          <t>0</t>
        </is>
      </c>
      <c r="E4" s="10" t="inlineStr">
        <is>
          <t>0.05</t>
        </is>
      </c>
      <c r="F4" s="10" t="inlineStr">
        <is>
          <t>https://gare-lotti-milanesi.pages.dev</t>
        </is>
      </c>
      <c r="G4" s="10" t="inlineStr">
        <is>
          <t>2026-05-25</t>
        </is>
      </c>
      <c r="H4" s="10" t="inlineStr">
        <is>
          <t>Da compilare con output web</t>
        </is>
      </c>
      <c r="I4" s="10" t="inlineStr">
        <is>
          <t>Web L3</t>
        </is>
      </c>
      <c r="J4" s="10" t="n">
        <v>0</v>
      </c>
    </row>
    <row r="5">
      <c r="A5" s="10" t="inlineStr">
        <is>
          <t>G04</t>
        </is>
      </c>
      <c r="B5" s="10" t="inlineStr">
        <is>
          <t>RIBASSO_AGGRESSIVO</t>
        </is>
      </c>
      <c r="C5" s="10" t="inlineStr">
        <is>
          <t>L4</t>
        </is>
      </c>
      <c r="D5" s="10" t="inlineStr">
        <is>
          <t>0</t>
        </is>
      </c>
      <c r="E5" s="10" t="inlineStr">
        <is>
          <t>0.05</t>
        </is>
      </c>
      <c r="F5" s="10" t="inlineStr">
        <is>
          <t>https://gare-lotti-milanesi.pages.dev</t>
        </is>
      </c>
      <c r="G5" s="10" t="inlineStr">
        <is>
          <t>2026-05-25</t>
        </is>
      </c>
      <c r="H5" s="10" t="inlineStr">
        <is>
          <t>Da compilare con output web</t>
        </is>
      </c>
      <c r="I5" s="10" t="inlineStr">
        <is>
          <t>Web L4</t>
        </is>
      </c>
      <c r="J5" s="10" t="n">
        <v>0</v>
      </c>
    </row>
    <row r="6">
      <c r="A6" s="10" t="inlineStr">
        <is>
          <t>G05</t>
        </is>
      </c>
      <c r="B6" s="10" t="inlineStr">
        <is>
          <t>PRESIDIO_LOCALE</t>
        </is>
      </c>
      <c r="C6" s="10" t="inlineStr">
        <is>
          <t>L4</t>
        </is>
      </c>
      <c r="D6" s="10" t="inlineStr">
        <is>
          <t>0</t>
        </is>
      </c>
      <c r="E6" s="10" t="inlineStr">
        <is>
          <t>0.05</t>
        </is>
      </c>
      <c r="F6" s="10" t="inlineStr">
        <is>
          <t>https://gare-lotti-milanesi.pages.dev</t>
        </is>
      </c>
      <c r="G6" s="10" t="inlineStr">
        <is>
          <t>2026-05-25</t>
        </is>
      </c>
      <c r="H6" s="10" t="inlineStr">
        <is>
          <t>Da compilare con output web</t>
        </is>
      </c>
      <c r="I6" s="10" t="n"/>
      <c r="J6" s="10" t="n"/>
    </row>
    <row r="7">
      <c r="A7" s="10" t="inlineStr">
        <is>
          <t>G06</t>
        </is>
      </c>
      <c r="B7" s="10" t="inlineStr">
        <is>
          <t>MERCATO_REALISTICO</t>
        </is>
      </c>
      <c r="C7" s="10" t="inlineStr">
        <is>
          <t>L3</t>
        </is>
      </c>
      <c r="D7" s="10" t="inlineStr">
        <is>
          <t>0</t>
        </is>
      </c>
      <c r="E7" s="10" t="inlineStr">
        <is>
          <t>0.05</t>
        </is>
      </c>
      <c r="F7" s="10" t="inlineStr">
        <is>
          <t>https://gare-lotti-milanesi.pages.dev</t>
        </is>
      </c>
      <c r="G7" s="10" t="inlineStr">
        <is>
          <t>2026-05-25</t>
        </is>
      </c>
      <c r="H7" s="10" t="inlineStr">
        <is>
          <t>Da compilare con output web</t>
        </is>
      </c>
      <c r="I7" s="10" t="n"/>
      <c r="J7" s="10" t="n"/>
    </row>
    <row r="8">
      <c r="A8" s="10" t="n"/>
      <c r="B8" s="10" t="n"/>
      <c r="C8" s="10" t="n"/>
      <c r="D8" s="10" t="n"/>
      <c r="E8" s="10" t="n"/>
      <c r="F8" s="10" t="n"/>
      <c r="G8" s="10" t="n"/>
      <c r="H8" s="10" t="n"/>
      <c r="I8" s="10" t="n"/>
      <c r="J8" s="10" t="n"/>
    </row>
  </sheetData>
  <dataValidations count="1">
    <dataValidation sqref="J2:J5" showDropDown="0" showInputMessage="0" showErrorMessage="0" allowBlank="0" type="decimal" operator="between">
      <formula1>0</formula1>
      <formula2>100</formula2>
    </dataValidation>
  </dataValidations>
  <pageMargins left="0.25" right="0.25" top="0.5" bottom="0.5" header="0.5" footer="0.5"/>
  <pageSetup fitToHeight="0" fitToWidth="1"/>
  <tableParts count="1">
    <tablePart xmlns:r="http://schemas.openxmlformats.org/officeDocument/2006/relationships" r:id="rId1"/>
  </tableParts>
</worksheet>
</file>

<file path=xl/worksheets/sheet10.xml><?xml version="1.0" encoding="utf-8"?>
<worksheet xmlns="http://schemas.openxmlformats.org/spreadsheetml/2006/main">
  <sheetPr codeName="Foglio7">
    <tabColor rgb="004472C4"/>
    <outlinePr summaryBelow="1" summaryRight="1"/>
    <pageSetUpPr fitToPage="1"/>
  </sheetPr>
  <dimension ref="A1:J50"/>
  <sheetViews>
    <sheetView showGridLines="0" tabSelected="0" workbookViewId="0">
      <pane ySplit="1" topLeftCell="A2" activePane="bottomLeft" state="frozen"/>
      <selection pane="bottomLeft" activeCell="A1" sqref="A1"/>
    </sheetView>
  </sheetViews>
  <sheetFormatPr baseColWidth="10" defaultColWidth="8.83203125" defaultRowHeight="15"/>
  <cols>
    <col width="14" customWidth="1" min="1" max="1"/>
    <col width="16" customWidth="1" min="2" max="4"/>
    <col width="12" customWidth="1" min="3" max="3"/>
    <col width="12" customWidth="1" min="4" max="4"/>
    <col width="16" customWidth="1" min="5" max="5"/>
    <col width="16" customWidth="1" min="6" max="6"/>
    <col width="16" customWidth="1" min="7" max="7"/>
    <col width="16" customWidth="1" min="8" max="8"/>
    <col width="16" customWidth="1" min="9" max="9"/>
    <col width="20" customWidth="1" min="10" max="10"/>
  </cols>
  <sheetData>
    <row r="1" ht="24" customHeight="1">
      <c r="A1" s="18" t="inlineStr">
        <is>
          <t>Iterazione</t>
        </is>
      </c>
      <c r="B1" s="18" t="inlineStr">
        <is>
          <t>Lotto</t>
        </is>
      </c>
      <c r="C1" s="18" t="inlineStr">
        <is>
          <t>Leva</t>
        </is>
      </c>
      <c r="D1" s="18" t="inlineStr">
        <is>
          <t>Delta</t>
        </is>
      </c>
      <c r="E1" s="18" t="inlineStr">
        <is>
          <t>TotalePrima</t>
        </is>
      </c>
      <c r="F1" s="18" t="inlineStr">
        <is>
          <t>TotaleDopo</t>
        </is>
      </c>
      <c r="G1" s="18" t="inlineStr">
        <is>
          <t>Esito</t>
        </is>
      </c>
      <c r="H1" s="18" t="n"/>
      <c r="I1" s="18" t="n"/>
      <c r="J1" s="18" t="n"/>
    </row>
    <row r="2">
      <c r="A2" s="21" t="n"/>
      <c r="B2" s="21" t="n"/>
      <c r="C2" s="21" t="n"/>
      <c r="D2" s="21" t="n"/>
      <c r="E2" s="21" t="n"/>
      <c r="F2" s="21" t="n"/>
      <c r="G2" s="21" t="n"/>
      <c r="H2" s="21" t="n"/>
      <c r="I2" s="21" t="n"/>
      <c r="J2" s="21" t="n"/>
    </row>
    <row r="3">
      <c r="A3" s="21" t="n"/>
      <c r="B3" s="21" t="n"/>
      <c r="C3" s="21" t="n"/>
      <c r="D3" s="21" t="n"/>
      <c r="E3" s="21" t="n"/>
      <c r="F3" s="21" t="n"/>
      <c r="G3" s="21" t="n"/>
      <c r="H3" s="21" t="n"/>
      <c r="I3" s="21" t="n"/>
      <c r="J3" s="21" t="n"/>
    </row>
    <row r="4">
      <c r="A4" s="21" t="n"/>
      <c r="B4" s="21" t="n"/>
      <c r="C4" s="21" t="n"/>
      <c r="D4" s="21" t="n"/>
      <c r="E4" s="21" t="n"/>
      <c r="F4" s="21" t="n"/>
      <c r="G4" s="21" t="n"/>
      <c r="H4" s="21" t="n"/>
      <c r="I4" s="21" t="n"/>
      <c r="J4" s="21" t="n"/>
    </row>
    <row r="5">
      <c r="A5" s="21" t="n"/>
      <c r="B5" s="21" t="n"/>
      <c r="C5" s="21" t="n"/>
      <c r="D5" s="21" t="n"/>
      <c r="E5" s="21" t="n"/>
      <c r="F5" s="21" t="n"/>
      <c r="G5" s="21" t="n"/>
      <c r="H5" s="21" t="n"/>
      <c r="I5" s="21" t="n"/>
      <c r="J5" s="21" t="n"/>
    </row>
    <row r="6">
      <c r="A6" s="21" t="n"/>
      <c r="B6" s="21" t="n"/>
      <c r="C6" s="21" t="n"/>
      <c r="D6" s="21" t="n"/>
      <c r="E6" s="21" t="n"/>
      <c r="F6" s="21" t="n"/>
      <c r="G6" s="21" t="n"/>
      <c r="H6" s="21" t="n"/>
      <c r="I6" s="21" t="n"/>
      <c r="J6" s="21" t="n"/>
    </row>
    <row r="7">
      <c r="A7" s="21" t="n"/>
      <c r="B7" s="21" t="n"/>
      <c r="C7" s="21" t="n"/>
      <c r="D7" s="21" t="n"/>
      <c r="E7" s="21" t="n"/>
      <c r="F7" s="21" t="n"/>
      <c r="G7" s="21" t="n"/>
      <c r="H7" s="21" t="n"/>
      <c r="I7" s="21" t="n"/>
      <c r="J7" s="21" t="n"/>
    </row>
    <row r="8">
      <c r="A8" s="21" t="n"/>
      <c r="B8" s="21" t="n"/>
      <c r="C8" s="21" t="n"/>
      <c r="D8" s="21" t="n"/>
      <c r="E8" s="21" t="n"/>
      <c r="F8" s="21" t="n"/>
      <c r="G8" s="21" t="n"/>
      <c r="H8" s="21" t="n"/>
      <c r="I8" s="21" t="n"/>
      <c r="J8" s="21" t="n"/>
    </row>
    <row r="9">
      <c r="A9" s="21" t="n"/>
      <c r="B9" s="21" t="n"/>
      <c r="C9" s="21" t="n"/>
      <c r="D9" s="21" t="n"/>
      <c r="E9" s="21" t="n"/>
      <c r="F9" s="21" t="n"/>
      <c r="G9" s="21" t="n"/>
      <c r="H9" s="21" t="n"/>
      <c r="I9" s="21" t="n"/>
      <c r="J9" s="21" t="n"/>
    </row>
    <row r="10">
      <c r="A10" s="21" t="n"/>
      <c r="B10" s="21" t="n"/>
      <c r="C10" s="21" t="n"/>
      <c r="D10" s="21" t="n"/>
      <c r="E10" s="21" t="n"/>
      <c r="F10" s="21" t="n"/>
      <c r="G10" s="21" t="n"/>
      <c r="H10" s="21" t="n"/>
      <c r="I10" s="21" t="n"/>
      <c r="J10" s="21" t="n"/>
    </row>
    <row r="11">
      <c r="A11" s="21" t="n"/>
      <c r="B11" s="21" t="n"/>
      <c r="C11" s="21" t="n"/>
      <c r="D11" s="21" t="n"/>
      <c r="E11" s="21" t="n"/>
      <c r="F11" s="21" t="n"/>
      <c r="G11" s="21" t="n"/>
      <c r="H11" s="21" t="n"/>
      <c r="I11" s="21" t="n"/>
      <c r="J11" s="21" t="n"/>
    </row>
    <row r="12">
      <c r="A12" s="21" t="n"/>
      <c r="B12" s="21" t="n"/>
      <c r="C12" s="21" t="n"/>
      <c r="D12" s="21" t="n"/>
      <c r="E12" s="21" t="n"/>
      <c r="F12" s="21" t="n"/>
      <c r="G12" s="21" t="n"/>
      <c r="H12" s="21" t="n"/>
      <c r="I12" s="21" t="n"/>
      <c r="J12" s="21" t="n"/>
    </row>
    <row r="13">
      <c r="A13" s="21" t="n"/>
      <c r="B13" s="21" t="n"/>
      <c r="C13" s="21" t="n"/>
      <c r="D13" s="21" t="n"/>
      <c r="E13" s="21" t="n"/>
      <c r="F13" s="21" t="n"/>
      <c r="G13" s="21" t="n"/>
      <c r="H13" s="21" t="n"/>
      <c r="I13" s="21" t="n"/>
      <c r="J13" s="21" t="n"/>
    </row>
    <row r="14">
      <c r="A14" s="21" t="n"/>
      <c r="B14" s="21" t="n"/>
      <c r="C14" s="21" t="n"/>
      <c r="D14" s="21" t="n"/>
      <c r="E14" s="21" t="n"/>
      <c r="F14" s="21" t="n"/>
      <c r="G14" s="21" t="n"/>
      <c r="H14" s="21" t="n"/>
      <c r="I14" s="21" t="n"/>
      <c r="J14" s="21" t="n"/>
    </row>
    <row r="15">
      <c r="A15" s="21" t="n"/>
      <c r="B15" s="21" t="n"/>
      <c r="C15" s="21" t="n"/>
      <c r="D15" s="21" t="n"/>
      <c r="E15" s="21" t="n"/>
      <c r="F15" s="21" t="n"/>
      <c r="G15" s="21" t="n"/>
      <c r="H15" s="21" t="n"/>
      <c r="I15" s="21" t="n"/>
      <c r="J15" s="21" t="n"/>
    </row>
    <row r="16">
      <c r="A16" s="21" t="n"/>
      <c r="B16" s="21" t="n"/>
      <c r="C16" s="21" t="n"/>
      <c r="D16" s="21" t="n"/>
      <c r="E16" s="21" t="n"/>
      <c r="F16" s="21" t="n"/>
      <c r="G16" s="21" t="n"/>
      <c r="H16" s="21" t="n"/>
      <c r="I16" s="21" t="n"/>
      <c r="J16" s="21" t="n"/>
    </row>
    <row r="17">
      <c r="A17" s="21" t="n"/>
      <c r="B17" s="21" t="n"/>
      <c r="C17" s="21" t="n"/>
      <c r="D17" s="21" t="n"/>
      <c r="E17" s="21" t="n"/>
      <c r="F17" s="21" t="n"/>
      <c r="G17" s="21" t="n"/>
      <c r="H17" s="21" t="n"/>
      <c r="I17" s="21" t="n"/>
      <c r="J17" s="21" t="n"/>
    </row>
    <row r="18">
      <c r="A18" s="21" t="n"/>
      <c r="B18" s="21" t="n"/>
      <c r="C18" s="21" t="n"/>
      <c r="D18" s="21" t="n"/>
      <c r="E18" s="21" t="n"/>
      <c r="F18" s="21" t="n"/>
      <c r="G18" s="21" t="n"/>
      <c r="H18" s="21" t="n"/>
      <c r="I18" s="21" t="n"/>
      <c r="J18" s="21" t="n"/>
    </row>
    <row r="19">
      <c r="A19" s="21" t="n"/>
      <c r="B19" s="21" t="n"/>
      <c r="C19" s="21" t="n"/>
      <c r="D19" s="21" t="n"/>
      <c r="E19" s="21" t="n"/>
      <c r="F19" s="21" t="n"/>
      <c r="G19" s="21" t="n"/>
      <c r="H19" s="21" t="n"/>
      <c r="I19" s="21" t="n"/>
      <c r="J19" s="21" t="n"/>
    </row>
    <row r="20">
      <c r="A20" s="21" t="n"/>
      <c r="B20" s="21" t="n"/>
      <c r="C20" s="21" t="n"/>
      <c r="D20" s="21" t="n"/>
      <c r="E20" s="21" t="n"/>
      <c r="F20" s="21" t="n"/>
      <c r="G20" s="21" t="n"/>
      <c r="H20" s="21" t="n"/>
      <c r="I20" s="21" t="n"/>
      <c r="J20" s="21" t="n"/>
    </row>
    <row r="21">
      <c r="A21" s="21" t="n"/>
      <c r="B21" s="21" t="n"/>
      <c r="C21" s="21" t="n"/>
      <c r="D21" s="21" t="n"/>
      <c r="E21" s="21" t="n"/>
      <c r="F21" s="21" t="n"/>
      <c r="G21" s="21" t="n"/>
      <c r="H21" s="21" t="n"/>
      <c r="I21" s="21" t="n"/>
      <c r="J21" s="21" t="n"/>
    </row>
    <row r="22">
      <c r="A22" s="21" t="n"/>
      <c r="B22" s="21" t="n"/>
      <c r="C22" s="21" t="n"/>
      <c r="D22" s="21" t="n"/>
      <c r="E22" s="21" t="n"/>
      <c r="F22" s="21" t="n"/>
      <c r="G22" s="21" t="n"/>
      <c r="H22" s="21" t="n"/>
      <c r="I22" s="21" t="n"/>
      <c r="J22" s="21" t="n"/>
    </row>
    <row r="23">
      <c r="A23" s="21" t="n"/>
      <c r="B23" s="21" t="n"/>
      <c r="C23" s="21" t="n"/>
      <c r="D23" s="21" t="n"/>
      <c r="E23" s="21" t="n"/>
      <c r="F23" s="21" t="n"/>
      <c r="G23" s="21" t="n"/>
      <c r="H23" s="21" t="n"/>
      <c r="I23" s="21" t="n"/>
      <c r="J23" s="21" t="n"/>
    </row>
    <row r="24">
      <c r="A24" s="21" t="n"/>
      <c r="B24" s="21" t="n"/>
      <c r="C24" s="21" t="n"/>
      <c r="D24" s="21" t="n"/>
      <c r="E24" s="21" t="n"/>
      <c r="F24" s="21" t="n"/>
      <c r="G24" s="21" t="n"/>
      <c r="H24" s="21" t="n"/>
      <c r="I24" s="21" t="n"/>
      <c r="J24" s="21" t="n"/>
    </row>
    <row r="25">
      <c r="A25" s="21" t="n"/>
      <c r="B25" s="21" t="n"/>
      <c r="C25" s="21" t="n"/>
      <c r="D25" s="21" t="n"/>
      <c r="E25" s="21" t="n"/>
      <c r="F25" s="21" t="n"/>
      <c r="G25" s="21" t="n"/>
      <c r="H25" s="21" t="n"/>
      <c r="I25" s="21" t="n"/>
      <c r="J25" s="21" t="n"/>
    </row>
    <row r="26">
      <c r="A26" s="21" t="n"/>
      <c r="B26" s="21" t="n"/>
      <c r="C26" s="21" t="n"/>
      <c r="D26" s="21" t="n"/>
      <c r="E26" s="21" t="n"/>
      <c r="F26" s="21" t="n"/>
      <c r="G26" s="21" t="n"/>
      <c r="H26" s="21" t="n"/>
      <c r="I26" s="21" t="n"/>
      <c r="J26" s="21" t="n"/>
    </row>
    <row r="27">
      <c r="A27" s="21" t="n"/>
      <c r="B27" s="21" t="n"/>
      <c r="C27" s="21" t="n"/>
      <c r="D27" s="21" t="n"/>
      <c r="E27" s="21" t="n"/>
      <c r="F27" s="21" t="n"/>
      <c r="G27" s="21" t="n"/>
      <c r="H27" s="21" t="n"/>
      <c r="I27" s="21" t="n"/>
      <c r="J27" s="21" t="n"/>
    </row>
    <row r="28">
      <c r="A28" s="21" t="n"/>
      <c r="B28" s="21" t="n"/>
      <c r="C28" s="21" t="n"/>
      <c r="D28" s="21" t="n"/>
      <c r="E28" s="21" t="n"/>
      <c r="F28" s="21" t="n"/>
      <c r="G28" s="21" t="n"/>
      <c r="H28" s="21" t="n"/>
      <c r="I28" s="21" t="n"/>
      <c r="J28" s="21" t="n"/>
    </row>
    <row r="29">
      <c r="A29" s="21" t="n"/>
      <c r="B29" s="21" t="n"/>
      <c r="C29" s="21" t="n"/>
      <c r="D29" s="21" t="n"/>
      <c r="E29" s="21" t="n"/>
      <c r="F29" s="21" t="n"/>
      <c r="G29" s="21" t="n"/>
      <c r="H29" s="21" t="n"/>
      <c r="I29" s="21" t="n"/>
      <c r="J29" s="21" t="n"/>
    </row>
    <row r="30">
      <c r="A30" s="21" t="n"/>
      <c r="B30" s="21" t="n"/>
      <c r="C30" s="21" t="n"/>
      <c r="D30" s="21" t="n"/>
      <c r="E30" s="21" t="n"/>
      <c r="F30" s="21" t="n"/>
      <c r="G30" s="21" t="n"/>
      <c r="H30" s="21" t="n"/>
      <c r="I30" s="21" t="n"/>
      <c r="J30" s="21" t="n"/>
    </row>
    <row r="31">
      <c r="A31" s="21" t="n"/>
      <c r="B31" s="21" t="n"/>
      <c r="C31" s="21" t="n"/>
      <c r="D31" s="21" t="n"/>
      <c r="E31" s="21" t="n"/>
      <c r="F31" s="21" t="n"/>
      <c r="G31" s="21" t="n"/>
      <c r="H31" s="21" t="n"/>
      <c r="I31" s="21" t="n"/>
      <c r="J31" s="21" t="n"/>
    </row>
    <row r="32">
      <c r="A32" s="21" t="n"/>
      <c r="B32" s="21" t="n"/>
      <c r="C32" s="21" t="n"/>
      <c r="D32" s="21" t="n"/>
      <c r="E32" s="21" t="n"/>
      <c r="F32" s="21" t="n"/>
      <c r="G32" s="21" t="n"/>
      <c r="H32" s="21" t="n"/>
      <c r="I32" s="21" t="n"/>
      <c r="J32" s="21" t="n"/>
    </row>
    <row r="33">
      <c r="A33" s="21" t="n"/>
      <c r="B33" s="21" t="n"/>
      <c r="C33" s="21" t="n"/>
      <c r="D33" s="21" t="n"/>
      <c r="E33" s="21" t="n"/>
      <c r="F33" s="21" t="n"/>
      <c r="G33" s="21" t="n"/>
      <c r="H33" s="21" t="n"/>
      <c r="I33" s="21" t="n"/>
      <c r="J33" s="21" t="n"/>
    </row>
    <row r="34">
      <c r="A34" s="21" t="n"/>
      <c r="B34" s="21" t="n"/>
      <c r="C34" s="21" t="n"/>
      <c r="D34" s="21" t="n"/>
      <c r="E34" s="21" t="n"/>
      <c r="F34" s="21" t="n"/>
      <c r="G34" s="21" t="n"/>
      <c r="H34" s="21" t="n"/>
      <c r="I34" s="21" t="n"/>
      <c r="J34" s="21" t="n"/>
    </row>
    <row r="35">
      <c r="A35" s="21" t="n"/>
      <c r="B35" s="21" t="n"/>
      <c r="C35" s="21" t="n"/>
      <c r="D35" s="21" t="n"/>
      <c r="E35" s="21" t="n"/>
      <c r="F35" s="21" t="n"/>
      <c r="G35" s="21" t="n"/>
      <c r="H35" s="21" t="n"/>
      <c r="I35" s="21" t="n"/>
      <c r="J35" s="21" t="n"/>
    </row>
    <row r="36">
      <c r="A36" s="21" t="n"/>
      <c r="B36" s="21" t="n"/>
      <c r="C36" s="21" t="n"/>
      <c r="D36" s="21" t="n"/>
      <c r="E36" s="21" t="n"/>
      <c r="F36" s="21" t="n"/>
      <c r="G36" s="21" t="n"/>
      <c r="H36" s="21" t="n"/>
      <c r="I36" s="21" t="n"/>
      <c r="J36" s="21" t="n"/>
    </row>
    <row r="37">
      <c r="A37" s="21" t="n"/>
      <c r="B37" s="21" t="n"/>
      <c r="C37" s="21" t="n"/>
      <c r="D37" s="21" t="n"/>
      <c r="E37" s="21" t="n"/>
      <c r="F37" s="21" t="n"/>
      <c r="G37" s="21" t="n"/>
      <c r="H37" s="21" t="n"/>
      <c r="I37" s="21" t="n"/>
      <c r="J37" s="21" t="n"/>
    </row>
    <row r="38">
      <c r="A38" s="21" t="n"/>
      <c r="B38" s="21" t="n"/>
      <c r="C38" s="21" t="n"/>
      <c r="D38" s="21" t="n"/>
      <c r="E38" s="21" t="n"/>
      <c r="F38" s="21" t="n"/>
      <c r="G38" s="21" t="n"/>
      <c r="H38" s="21" t="n"/>
      <c r="I38" s="21" t="n"/>
      <c r="J38" s="21" t="n"/>
    </row>
    <row r="39">
      <c r="A39" s="21" t="n"/>
      <c r="B39" s="21" t="n"/>
      <c r="C39" s="21" t="n"/>
      <c r="D39" s="21" t="n"/>
      <c r="E39" s="21" t="n"/>
      <c r="F39" s="21" t="n"/>
      <c r="G39" s="21" t="n"/>
      <c r="H39" s="21" t="n"/>
      <c r="I39" s="21" t="n"/>
      <c r="J39" s="21" t="n"/>
    </row>
    <row r="40">
      <c r="A40" s="21" t="n"/>
      <c r="B40" s="21" t="n"/>
      <c r="C40" s="21" t="n"/>
      <c r="D40" s="21" t="n"/>
      <c r="E40" s="21" t="n"/>
      <c r="F40" s="21" t="n"/>
      <c r="G40" s="21" t="n"/>
      <c r="H40" s="21" t="n"/>
      <c r="I40" s="21" t="n"/>
      <c r="J40" s="21" t="n"/>
    </row>
    <row r="41">
      <c r="A41" s="21" t="n"/>
      <c r="B41" s="21" t="n"/>
      <c r="C41" s="21" t="n"/>
      <c r="D41" s="21" t="n"/>
      <c r="E41" s="21" t="n"/>
      <c r="F41" s="21" t="n"/>
      <c r="G41" s="21" t="n"/>
      <c r="H41" s="21" t="n"/>
      <c r="I41" s="21" t="n"/>
      <c r="J41" s="21" t="n"/>
    </row>
    <row r="42">
      <c r="A42" s="21" t="n"/>
      <c r="B42" s="21" t="n"/>
      <c r="C42" s="21" t="n"/>
      <c r="D42" s="21" t="n"/>
      <c r="E42" s="21" t="n"/>
      <c r="F42" s="21" t="n"/>
      <c r="G42" s="21" t="n"/>
      <c r="H42" s="21" t="n"/>
      <c r="I42" s="21" t="n"/>
      <c r="J42" s="21" t="n"/>
    </row>
    <row r="43">
      <c r="A43" s="21" t="n"/>
      <c r="B43" s="21" t="n"/>
      <c r="C43" s="21" t="n"/>
      <c r="D43" s="21" t="n"/>
      <c r="E43" s="21" t="n"/>
      <c r="F43" s="21" t="n"/>
      <c r="G43" s="21" t="n"/>
      <c r="H43" s="21" t="n"/>
      <c r="I43" s="21" t="n"/>
      <c r="J43" s="21" t="n"/>
    </row>
    <row r="44">
      <c r="A44" s="21" t="n"/>
      <c r="B44" s="21" t="n"/>
      <c r="C44" s="21" t="n"/>
      <c r="D44" s="21" t="n"/>
      <c r="E44" s="21" t="n"/>
      <c r="F44" s="21" t="n"/>
      <c r="G44" s="21" t="n"/>
      <c r="H44" s="21" t="n"/>
      <c r="I44" s="21" t="n"/>
      <c r="J44" s="21" t="n"/>
    </row>
    <row r="45">
      <c r="A45" s="21" t="n"/>
      <c r="B45" s="21" t="n"/>
      <c r="C45" s="21" t="n"/>
      <c r="D45" s="21" t="n"/>
      <c r="E45" s="21" t="n"/>
      <c r="F45" s="21" t="n"/>
      <c r="G45" s="21" t="n"/>
      <c r="H45" s="21" t="n"/>
      <c r="I45" s="21" t="n"/>
      <c r="J45" s="21" t="n"/>
    </row>
    <row r="46">
      <c r="A46" s="21" t="n"/>
      <c r="B46" s="21" t="n"/>
      <c r="C46" s="21" t="n"/>
      <c r="D46" s="21" t="n"/>
      <c r="E46" s="21" t="n"/>
      <c r="F46" s="21" t="n"/>
      <c r="G46" s="21" t="n"/>
      <c r="H46" s="21" t="n"/>
      <c r="I46" s="21" t="n"/>
      <c r="J46" s="21" t="n"/>
    </row>
    <row r="47">
      <c r="A47" s="21" t="n"/>
      <c r="B47" s="21" t="n"/>
      <c r="C47" s="21" t="n"/>
      <c r="D47" s="21" t="n"/>
      <c r="E47" s="21" t="n"/>
      <c r="F47" s="21" t="n"/>
      <c r="G47" s="21" t="n"/>
      <c r="H47" s="21" t="n"/>
      <c r="I47" s="21" t="n"/>
      <c r="J47" s="21" t="n"/>
    </row>
    <row r="48">
      <c r="A48" s="21" t="n"/>
      <c r="B48" s="21" t="n"/>
      <c r="C48" s="21" t="n"/>
      <c r="D48" s="21" t="n"/>
      <c r="E48" s="21" t="n"/>
      <c r="F48" s="21" t="n"/>
      <c r="G48" s="21" t="n"/>
      <c r="H48" s="21" t="n"/>
      <c r="I48" s="21" t="n"/>
      <c r="J48" s="21" t="n"/>
    </row>
    <row r="49">
      <c r="A49" s="21" t="n"/>
      <c r="B49" s="21" t="n"/>
      <c r="C49" s="21" t="n"/>
      <c r="D49" s="21" t="n"/>
      <c r="E49" s="21" t="n"/>
      <c r="F49" s="21" t="n"/>
      <c r="G49" s="21" t="n"/>
      <c r="H49" s="21" t="n"/>
      <c r="I49" s="21" t="n"/>
      <c r="J49" s="21" t="n"/>
    </row>
    <row r="50">
      <c r="A50" s="21" t="n"/>
      <c r="B50" s="21" t="n"/>
      <c r="C50" s="21" t="n"/>
      <c r="D50" s="21" t="n"/>
      <c r="E50" s="21" t="n"/>
      <c r="F50" s="21" t="n"/>
      <c r="G50" s="21" t="n"/>
      <c r="H50" s="21" t="n"/>
      <c r="I50" s="21" t="n"/>
      <c r="J50" s="21" t="n"/>
    </row>
  </sheetData>
  <pageMargins left="0.25" right="0.25" top="0.5" bottom="0.5" header="0.5" footer="0.5"/>
  <pageSetup fitToHeight="0" fitToWidth="1"/>
</worksheet>
</file>

<file path=xl/worksheets/sheet11.xml><?xml version="1.0" encoding="utf-8"?>
<worksheet xmlns="http://schemas.openxmlformats.org/spreadsheetml/2006/main">
  <sheetPr>
    <tabColor rgb="002563EB"/>
    <outlinePr summaryBelow="1" summaryRight="1"/>
    <pageSetUpPr fitToPage="1"/>
  </sheetPr>
  <dimension ref="A1:H146"/>
  <sheetViews>
    <sheetView showGridLines="0" tabSelected="0" workbookViewId="0">
      <pane ySplit="3" topLeftCell="A4" activePane="bottomLeft" state="frozen"/>
      <selection pane="bottomLeft" activeCell="A1" sqref="A1"/>
    </sheetView>
  </sheetViews>
  <sheetFormatPr baseColWidth="8" defaultRowHeight="15"/>
  <cols>
    <col width="18" customWidth="1" min="1" max="1"/>
    <col width="16" customWidth="1" min="2" max="2"/>
    <col width="16" customWidth="1" min="3" max="3"/>
    <col width="16" customWidth="1" min="4" max="4"/>
    <col width="16" customWidth="1" min="5" max="5"/>
    <col width="16" customWidth="1" min="6" max="6"/>
    <col width="16" customWidth="1" min="7" max="7"/>
    <col width="16" customWidth="1" min="8" max="8"/>
  </cols>
  <sheetData>
    <row r="1" ht="28" customHeight="1">
      <c r="A1" s="4" t="inlineStr">
        <is>
          <t>Guida integrata</t>
        </is>
      </c>
    </row>
    <row r="2">
      <c r="A2" s="5" t="inlineStr">
        <is>
          <t>README operativo incorporato nel workbook: niente file esterni necessari per iniziare.</t>
        </is>
      </c>
    </row>
    <row r="4" ht="22" customHeight="1">
      <c r="A4" s="6" t="inlineStr">
        <is>
          <t>Avvio rapido</t>
        </is>
      </c>
    </row>
    <row r="5">
      <c r="A5" s="22" t="inlineStr">
        <is>
          <t>1. Apri il file .xlsm e abilita le macro se richiesto.
2. Vai a Parametri e scegli soglia/lotto attivo.
3. Compila Offerte.
4. Esegui CheckBeforeRun e poi SimulaScenario.
5. Usa ConfrontoWebGolden solo dopo aver copiato gli expected dal web.</t>
        </is>
      </c>
    </row>
    <row r="6"/>
    <row r="7"/>
    <row r="9" ht="22" customHeight="1">
      <c r="A9" s="6" t="inlineStr">
        <is>
          <t>Macro principali</t>
        </is>
      </c>
    </row>
    <row r="10">
      <c r="A10" s="22" t="inlineStr">
        <is>
          <t>CheckBeforeRun: valida setup e input.
SimulaScenario: calcola risultati.
OttimizzaLottoAttivo: lavora sul bidder e lotto selezionati.
ConfrontoWebGolden: confronta i totali Excel con valori web incollati in J2:J5.</t>
        </is>
      </c>
    </row>
    <row r="11"/>
    <row r="12"/>
    <row r="14" ht="22" customHeight="1">
      <c r="A14" s="6" t="inlineStr">
        <is>
          <t>Modalità light</t>
        </is>
      </c>
    </row>
    <row r="15">
      <c r="A15" s="22" t="inlineStr">
        <is>
          <t>Questo workbook supporta analisi offline rapide. Non sostituisce il simulatore web per scoring completo, warning documentali, persistenza, import/export JSON e confronto scenari salvati.</t>
        </is>
      </c>
    </row>
    <row r="16"/>
    <row r="17"/>
    <row r="19" ht="22" customHeight="1">
      <c r="A19" s="6" t="inlineStr">
        <is>
          <t>Sicurezza macro</t>
        </is>
      </c>
    </row>
    <row r="20">
      <c r="A20" s="22" t="inlineStr">
        <is>
          <t>Dopo download da web Excel può bloccare le macro. Su macOS/Windows può servire sbloccare il file o spostarlo in una posizione attendibile.</t>
        </is>
      </c>
    </row>
    <row r="21"/>
    <row r="22"/>
    <row r="24" ht="22" customHeight="1">
      <c r="A24" s="6" t="inlineStr">
        <is>
          <t>README incorporato</t>
        </is>
      </c>
    </row>
    <row r="25">
      <c r="A25" s="23" t="inlineStr">
        <is>
          <t># Template Excel e moduli VBA</t>
        </is>
      </c>
    </row>
    <row r="26">
      <c r="A26" s="24" t="inlineStr">
        <is>
          <t>Implementazione Excel + VBA del simulatore con estensioni avanzate:</t>
        </is>
      </c>
    </row>
    <row r="27">
      <c r="A27" s="24" t="inlineStr">
        <is>
          <t>- simulazione punteggi tecnici/economici per lotti L1-L4;</t>
        </is>
      </c>
    </row>
    <row r="28">
      <c r="A28" s="24" t="inlineStr">
        <is>
          <t>- soglia di sbarramento tecnica;</t>
        </is>
      </c>
    </row>
    <row r="29">
      <c r="A29" s="24" t="inlineStr">
        <is>
          <t>- ranking per lotto;</t>
        </is>
      </c>
    </row>
    <row r="30">
      <c r="A30" s="24" t="inlineStr">
        <is>
          <t>- valutazione combinatorie principali (L1+L2, L2+L3, L3+L4, L1+L4);</t>
        </is>
      </c>
    </row>
    <row r="31">
      <c r="A31" s="24" t="inlineStr">
        <is>
          <t>- scenario vincente per lotti singoli con tie-break su punteggio tecnico;</t>
        </is>
      </c>
    </row>
    <row r="32">
      <c r="A32" s="24" t="inlineStr">
        <is>
          <t>- foglio `Combinatorie` con input espliciti per coppie, buste, PEF e ribasso migliorativo;</t>
        </is>
      </c>
    </row>
    <row r="33">
      <c r="A33" s="24" t="inlineStr">
        <is>
          <t>- foglio `ScenarioGlobale` con matrice indicativa singoli/combinatorie compatibili;</t>
        </is>
      </c>
    </row>
    <row r="34">
      <c r="A34" s="24" t="inlineStr">
        <is>
          <t>- ottimizzazione iterativa su lotto attivo con leve separate Q/T (escluso D);</t>
        </is>
      </c>
    </row>
    <row r="35">
      <c r="A35" s="24" t="inlineStr">
        <is>
          <t>- foglio di confronto golden con expected dal web.</t>
        </is>
      </c>
    </row>
    <row r="36">
      <c r="A36" s="23" t="inlineStr">
        <is>
          <t>## Template pronto all'uso</t>
        </is>
      </c>
    </row>
    <row r="37">
      <c r="A37" s="24" t="inlineStr">
        <is>
          <t>Nel pacchetto è incluso `templates/Simulatore-TPL-Lotti-1-4-template.xlsm`, già predisposto con fogli, intestazioni, parametri base, log ottimizzazione, sezione confronto web e moduli VBA incorporati. I sorgenti `.bas` restano in `src/` per audit e manutenzione, ma non devono essere importati dall'utente finale.</t>
        </is>
      </c>
    </row>
    <row r="38">
      <c r="A38" s="24" t="inlineStr">
        <is>
          <t>Fogli inclusi nel template:</t>
        </is>
      </c>
    </row>
    <row r="39">
      <c r="A39" s="24" t="inlineStr">
        <is>
          <t>1. `Dashboard`</t>
        </is>
      </c>
    </row>
    <row r="40">
      <c r="A40" s="24" t="inlineStr">
        <is>
          <t>2. `Istruzioni`</t>
        </is>
      </c>
    </row>
    <row r="41">
      <c r="A41" s="24" t="inlineStr">
        <is>
          <t>3. `Parametri`</t>
        </is>
      </c>
    </row>
    <row r="42">
      <c r="A42" s="24" t="inlineStr">
        <is>
          <t>4. `Ottimizzazione`</t>
        </is>
      </c>
    </row>
    <row r="43">
      <c r="A43" s="24" t="inlineStr">
        <is>
          <t>5. `Offerte`</t>
        </is>
      </c>
    </row>
    <row r="44">
      <c r="A44" s="24" t="inlineStr">
        <is>
          <t>6. `Combinatorie`</t>
        </is>
      </c>
    </row>
    <row r="45">
      <c r="A45" s="24" t="inlineStr">
        <is>
          <t>7. `ScenarioGlobale`</t>
        </is>
      </c>
    </row>
    <row r="46">
      <c r="A46" s="24" t="inlineStr">
        <is>
          <t>8. `Risultati`</t>
        </is>
      </c>
    </row>
    <row r="47">
      <c r="A47" s="24" t="inlineStr">
        <is>
          <t>9. `ConfrontoWeb`</t>
        </is>
      </c>
    </row>
    <row r="48">
      <c r="A48" s="24" t="inlineStr">
        <is>
          <t>10. `LogOttimizzazione`</t>
        </is>
      </c>
    </row>
    <row r="49">
      <c r="A49" s="24" t="inlineStr">
        <is>
          <t>11. `Guida`</t>
        </is>
      </c>
    </row>
    <row r="50">
      <c r="A50" s="24" t="inlineStr">
        <is>
          <t>12. `Glossario`</t>
        </is>
      </c>
    </row>
    <row r="51">
      <c r="A51" s="23" t="inlineStr">
        <is>
          <t>## Mappatura minima celle</t>
        </is>
      </c>
    </row>
    <row r="52">
      <c r="A52" s="23" t="inlineStr">
        <is>
          <t>### Foglio `Parametri`</t>
        </is>
      </c>
    </row>
    <row r="53">
      <c r="A53" s="24" t="inlineStr">
        <is>
          <t>- `B2`: soglia tecnica</t>
        </is>
      </c>
    </row>
    <row r="54">
      <c r="A54" s="24" t="inlineStr">
        <is>
          <t>- `B3`: lotto attivo (`L1`/`L2`/`L3`/`L4`)</t>
        </is>
      </c>
    </row>
    <row r="55">
      <c r="A55" s="23" t="inlineStr">
        <is>
          <t>### Foglio `Offerte`</t>
        </is>
      </c>
    </row>
    <row r="56">
      <c r="A56" s="24" t="inlineStr">
        <is>
          <t>- `A`: BidderId</t>
        </is>
      </c>
    </row>
    <row r="57">
      <c r="A57" s="24" t="inlineStr">
        <is>
          <t>- `B`: BidderNome</t>
        </is>
      </c>
    </row>
    <row r="58">
      <c r="A58" s="24" t="inlineStr">
        <is>
          <t>- `C`: Lotto (`L1`..`L4`)</t>
        </is>
      </c>
    </row>
    <row r="59">
      <c r="A59" s="24" t="inlineStr">
        <is>
          <t>- `D`: Attivo (`1/0`)</t>
        </is>
      </c>
    </row>
    <row r="60">
      <c r="A60" s="24" t="inlineStr">
        <is>
          <t>- `E`: PunteggioTecnicoRaw (0-70)</t>
        </is>
      </c>
    </row>
    <row r="61">
      <c r="A61" s="24" t="inlineStr">
        <is>
          <t>- `F`: RibassoMedioPercento (0-100)</t>
        </is>
      </c>
    </row>
    <row r="62">
      <c r="A62" s="24" t="inlineStr">
        <is>
          <t>- `G:M`: colonne calcolate per ammissibilità, `Rmax`, economico, totale e chiavi di scenario.</t>
        </is>
      </c>
    </row>
    <row r="63">
      <c r="A63" s="23" t="inlineStr">
        <is>
          <t>### Foglio `Combinatorie`</t>
        </is>
      </c>
    </row>
    <row r="64">
      <c r="A64" s="24" t="inlineStr">
        <is>
          <t>- `A`: BidderId</t>
        </is>
      </c>
    </row>
    <row r="65">
      <c r="A65" s="24" t="inlineStr">
        <is>
          <t>- `C`: Coppia (`L1+L2`, `L2+L3`, `L3+L4`, `L1+L4`)</t>
        </is>
      </c>
    </row>
    <row r="66">
      <c r="A66" s="24" t="inlineStr">
        <is>
          <t>- `D`: Attivo (`1/0`)</t>
        </is>
      </c>
    </row>
    <row r="67">
      <c r="A67" s="24" t="inlineStr">
        <is>
          <t>- `E`: RibassoCombinatoria (0-100)</t>
        </is>
      </c>
    </row>
    <row r="68">
      <c r="A68" s="24" t="inlineStr">
        <is>
          <t>- `F`: InseritoBuste (`1/0`)</t>
        </is>
      </c>
    </row>
    <row r="69">
      <c r="A69" s="24" t="inlineStr">
        <is>
          <t>- `G`: PEFCoerente (`1/0`)</t>
        </is>
      </c>
    </row>
    <row r="70">
      <c r="A70" s="24" t="inlineStr">
        <is>
          <t>- `H:W`: colonne calcolate per lotti, soglia, ammissibilità, punteggio, note e chiavi.</t>
        </is>
      </c>
    </row>
    <row r="71">
      <c r="A71" s="23" t="inlineStr">
        <is>
          <t>### Foglio `Ottimizzazione`</t>
        </is>
      </c>
    </row>
    <row r="72">
      <c r="A72" s="24" t="inlineStr">
        <is>
          <t>- `B2`: BidderId selezionato</t>
        </is>
      </c>
    </row>
    <row r="73">
      <c r="A73" s="24" t="inlineStr">
        <is>
          <t>- `B3`: Max iterazioni</t>
        </is>
      </c>
    </row>
    <row r="74">
      <c r="A74" s="24" t="inlineStr">
        <is>
          <t>- `B4`: Delta tecnico leva Q</t>
        </is>
      </c>
    </row>
    <row r="75">
      <c r="A75" s="24" t="inlineStr">
        <is>
          <t>- `B6`: Delta ribasso finanziabile per step</t>
        </is>
      </c>
    </row>
    <row r="76">
      <c r="A76" s="24" t="inlineStr">
        <is>
          <t>- `B7`: Tetto tecnico leva Q</t>
        </is>
      </c>
    </row>
    <row r="77">
      <c r="A77" s="24" t="inlineStr">
        <is>
          <t>- `B8`: Delta tecnico leva T</t>
        </is>
      </c>
    </row>
    <row r="78">
      <c r="A78" s="24" t="inlineStr">
        <is>
          <t>- `B9`: Tetto tecnico leva T</t>
        </is>
      </c>
    </row>
    <row r="79">
      <c r="A79" s="23" t="inlineStr">
        <is>
          <t>## Macro principali</t>
        </is>
      </c>
    </row>
    <row r="80">
      <c r="A80" s="24" t="inlineStr">
        <is>
          <t>- `CheckBeforeRun`</t>
        </is>
      </c>
    </row>
    <row r="81">
      <c r="A81" s="24" t="inlineStr">
        <is>
          <t>- `SimulaScenario`</t>
        </is>
      </c>
    </row>
    <row r="82">
      <c r="A82" s="24" t="inlineStr">
        <is>
          <t>- `ValutaCombinatorie`</t>
        </is>
      </c>
    </row>
    <row r="83">
      <c r="A83" s="24" t="inlineStr">
        <is>
          <t>- `OttimizzaLottoAttivo`</t>
        </is>
      </c>
    </row>
    <row r="84">
      <c r="A84" s="24" t="inlineStr">
        <is>
          <t>- `ResetLogOttimizzazione`</t>
        </is>
      </c>
    </row>
    <row r="85">
      <c r="A85" s="24" t="inlineStr">
        <is>
          <t>- `ConfrontoWebGolden`</t>
        </is>
      </c>
    </row>
    <row r="86">
      <c r="A86" s="23" t="inlineStr">
        <is>
          <t>## Avvio rapido (ready to use)</t>
        </is>
      </c>
    </row>
    <row r="87">
      <c r="A87" s="24" t="inlineStr">
        <is>
          <t>1. Apri `templates/Simulatore-TPL-Lotti-1-4-template.xlsm`.</t>
        </is>
      </c>
    </row>
    <row r="88">
      <c r="A88" s="24" t="inlineStr">
        <is>
          <t>2. Abilita le macro se Excel lo richiede.</t>
        </is>
      </c>
    </row>
    <row r="89">
      <c r="A89" s="24" t="inlineStr">
        <is>
          <t>3. Verifica `Parametri` e aggiorna `Offerte` (puoi partire da `templates/offerte-esempio.csv`).</t>
        </is>
      </c>
    </row>
    <row r="90">
      <c r="A90" s="24" t="inlineStr">
        <is>
          <t>4. Esegui in ordine: `CheckBeforeRun`, `SimulaScenario`, `OttimizzaLottoAttivo`, `ConfrontoWebGolden`.</t>
        </is>
      </c>
    </row>
    <row r="91">
      <c r="A91" s="24" t="inlineStr">
        <is>
          <t>5. Per uso quotidiano, assegna queste macro alla Barra di accesso rapido di Excel (File &gt; Opzioni &gt; Barra di accesso rapido).</t>
        </is>
      </c>
    </row>
    <row r="92">
      <c r="A92" s="23" t="inlineStr">
        <is>
          <t>## Come usare il confronto golden</t>
        </is>
      </c>
    </row>
    <row r="93">
      <c r="A93" s="24" t="inlineStr">
        <is>
          <t>1. Esegui `SimulaScenario`.</t>
        </is>
      </c>
    </row>
    <row r="94">
      <c r="A94" s="24" t="inlineStr">
        <is>
          <t>2. Apri il tool web con lo stesso input scenario.</t>
        </is>
      </c>
    </row>
    <row r="95">
      <c r="A95" s="24" t="inlineStr">
        <is>
          <t>3. Copia i totali migliori lotto in `ConfrontoWeb!J2:J5`.</t>
        </is>
      </c>
    </row>
    <row r="96">
      <c r="A96" s="24" t="inlineStr">
        <is>
          <t>4. Esegui `ConfrontoWebGolden`.</t>
        </is>
      </c>
    </row>
    <row r="97">
      <c r="A97" s="24" t="inlineStr">
        <is>
          <t>5. Verifica esito `OK/KO` con tolleranza.</t>
        </is>
      </c>
    </row>
    <row r="98">
      <c r="A98" s="23" t="inlineStr">
        <is>
          <t>## Gap analysis: Excel vs Web</t>
        </is>
      </c>
    </row>
    <row r="99">
      <c r="A99" s="23" t="inlineStr">
        <is>
          <t>### Coperto nel pacchetto Excel VBA</t>
        </is>
      </c>
    </row>
    <row r="100">
      <c r="A100" s="24" t="inlineStr">
        <is>
          <t>- Simulazione per lotto con soglia tecnica e punteggio economico.</t>
        </is>
      </c>
    </row>
    <row r="101">
      <c r="A101" s="24" t="inlineStr">
        <is>
          <t>- Valutazione combinatorie principali (`L1+L2`, `L2+L3`, `L3+L4`, `L1+L4`).</t>
        </is>
      </c>
    </row>
    <row r="102">
      <c r="A102" s="24" t="inlineStr">
        <is>
          <t>- Ottimizzazione iterativa su lotto attivo con log iterazioni.</t>
        </is>
      </c>
    </row>
    <row r="103">
      <c r="A103" s="24" t="inlineStr">
        <is>
          <t>- Confronto golden con valori attesi dal tool web.</t>
        </is>
      </c>
    </row>
    <row r="104">
      <c r="A104" s="23" t="inlineStr">
        <is>
          <t>### Gap funzionali rispetto al tool Web</t>
        </is>
      </c>
    </row>
    <row r="105">
      <c r="A105" s="24" t="inlineStr">
        <is>
          <t>- **Modello criteri**: Excel usa leve aggregate e non replica ancora tutti i sub-criteri A-G con pari granularità.</t>
        </is>
      </c>
    </row>
    <row r="106">
      <c r="A106" s="24" t="inlineStr">
        <is>
          <t>- **Combinatorie**: la logica Excel è semplificata e non copre integralmente tutti i vincoli documentali e i warning avanzati.</t>
        </is>
      </c>
    </row>
    <row r="107">
      <c r="A107" s="24" t="inlineStr">
        <is>
          <t>- **Scenario globale**: la matrice Excel confronta singoli e coppie compatibili principali, ma non replica ancora enumerazione completa, deroga al limite di due lotti e batch/stress test del web.</t>
        </is>
      </c>
    </row>
    <row r="108">
      <c r="A108" s="24" t="inlineStr">
        <is>
          <t>- **Persistenza**: non ci sono migrazioni schema/versioni snapshot e compatibilità legacy come nel web.</t>
        </is>
      </c>
    </row>
    <row r="109">
      <c r="A109" s="24" t="inlineStr">
        <is>
          <t>- **UX operativa**: assenti confronto scenari salvati, report estesi, pannelli insight e filtri completi della UI React.</t>
        </is>
      </c>
    </row>
    <row r="110">
      <c r="A110" s="23" t="inlineStr">
        <is>
          <t>### Gap non funzionali</t>
        </is>
      </c>
    </row>
    <row r="111">
      <c r="A111" s="24" t="inlineStr">
        <is>
          <t>- **Test automatici**: VBA non ha suite automatica equivalente a `npm test`.</t>
        </is>
      </c>
    </row>
    <row r="112">
      <c r="A112" s="24" t="inlineStr">
        <is>
          <t>- **Tracciabilità release**: il pacchetto Excel non ha pipeline CI/CD o smoke test automatico.</t>
        </is>
      </c>
    </row>
    <row r="113">
      <c r="A113" s="24" t="inlineStr">
        <is>
          <t>- **Manutenibilità**: maggiore rischio divergenza formula/comportamento tra Excel e web nel tempo.</t>
        </is>
      </c>
    </row>
    <row r="114">
      <c r="A114" s="23" t="inlineStr">
        <is>
          <t>### Priorità di chiusura gap consigliata</t>
        </is>
      </c>
    </row>
    <row r="115">
      <c r="A115" s="24" t="inlineStr">
        <is>
          <t>1. Allineare formule di scoring e warning critici con casi golden versionati.</t>
        </is>
      </c>
    </row>
    <row r="116">
      <c r="A116" s="24" t="inlineStr">
        <is>
          <t>2. Portare le leve da aggregate a struttura per criterio (Q/T), mantenendo esclusione discrezionali `D`.</t>
        </is>
      </c>
    </row>
    <row r="117">
      <c r="A117" s="24" t="inlineStr">
        <is>
          <t>3. Introdurre export/import snapshot Excel stabile e controlli di validazione in macro.</t>
        </is>
      </c>
    </row>
    <row r="118">
      <c r="A118" s="24" t="inlineStr">
        <is>
          <t>4. Aggiungere batteria di test regressivi macro (casi campione su file dedicato).</t>
        </is>
      </c>
    </row>
    <row r="119">
      <c r="A119" s="23" t="inlineStr">
        <is>
          <t>## Versione pacchetto web</t>
        </is>
      </c>
    </row>
    <row r="120">
      <c r="A120" s="24" t="inlineStr">
        <is>
          <t>Il sito legge il badge versione da `public/downloads/pacchetto-excel-vba.manifest.json`.</t>
        </is>
      </c>
    </row>
    <row r="121">
      <c r="A121" s="24" t="inlineStr">
        <is>
          <t>Quando aggiorni il workbook pubblico, aggiorna anche il manifest (`version`, `builtAt`, `sha256`, `file`, `templateFile`, `minAppVersion`, `generatedBy`).</t>
        </is>
      </c>
    </row>
    <row r="122">
      <c r="A122" s="23" t="inlineStr">
        <is>
          <t>## Manutenzione del template `.xlsm`</t>
        </is>
      </c>
    </row>
    <row r="123">
      <c r="A123" s="24" t="inlineStr">
        <is>
          <t>Quando modifichi i sorgenti `src/*.bas`, apri `templates/Simulatore-TPL-Lotti-1-4-template.xlsm`, sostituisci o reimporta i moduli nel progetto VBA, salva il workbook, rifinisci layout/guida con `scripts/enhance-excel-workbook.py` e poi rigenera il file pubblico con `npm run package:excel`.</t>
        </is>
      </c>
    </row>
    <row r="124">
      <c r="A124" s="23" t="inlineStr">
        <is>
          <t>## Priorità implementate</t>
        </is>
      </c>
    </row>
    <row r="125">
      <c r="A125" s="24" t="inlineStr">
        <is>
          <t>1. **Golden versionati**: aggiunto `templates/golden-cases.csv` per tracciare expected Lotto L1-L4.</t>
        </is>
      </c>
    </row>
    <row r="126">
      <c r="A126" s="24" t="inlineStr">
        <is>
          <t>2. **Leve Q/T**: ottimizzazione con step separati e massimali distinti per ridurre divergenza con web.</t>
        </is>
      </c>
    </row>
    <row r="127">
      <c r="A127" s="24" t="inlineStr">
        <is>
          <t>3. **Validazioni macro**: aggiunto `modChecks.bas` con `CheckBeforeRun` e verifica setup fogli/soglia.</t>
        </is>
      </c>
    </row>
    <row r="128">
      <c r="A128" s="24" t="inlineStr">
        <is>
          <t>4. **Packaging ripetibile**: aggiunto script `scripts/package-excel-vba.mjs` per rigenerare workbook pubblico + manifest + hash dal template `.xlsm` macro-abilitato.</t>
        </is>
      </c>
    </row>
    <row r="129">
      <c r="A129" s="24" t="inlineStr">
        <is>
          <t>5. **Confronto strutturato**: `ConfrontoWebGolden` ora include colonna lotto e output tabellare più esplicito.</t>
        </is>
      </c>
    </row>
    <row r="130">
      <c r="A130" s="24" t="inlineStr">
        <is>
          <t>6. **Matrice scenario globale**: aggiunti `Combinatorie` e `ScenarioGlobale` per leggere in Excel singoli e coppie compatibili senza file esterni.</t>
        </is>
      </c>
    </row>
    <row r="131">
      <c r="A131" s="23" t="inlineStr">
        <is>
          <t>## Modalità di prodotto</t>
        </is>
      </c>
    </row>
    <row r="132">
      <c r="A132" s="24" t="inlineStr">
        <is>
          <t>Questa implementazione segue modalità **light**: supporto operativo offline e confronto rapido, senza parità completa con il motore web.</t>
        </is>
      </c>
    </row>
    <row r="133">
      <c r="A133" s="23" t="inlineStr">
        <is>
          <t>## Prossimi step operativi (1-4)</t>
        </is>
      </c>
    </row>
    <row r="134">
      <c r="A134" s="24" t="inlineStr">
        <is>
          <t>1. Compilare `templates/golden-cases.csv` con expected reali per 5-10 scenari campione.</t>
        </is>
      </c>
    </row>
    <row r="135">
      <c r="A135" s="24" t="inlineStr">
        <is>
          <t>2. Eseguire `npm run package:excel` ad ogni aggiornamento del toolkit prima del rilascio.</t>
        </is>
      </c>
    </row>
    <row r="136">
      <c r="A136" s="24" t="inlineStr">
        <is>
          <t>3. Usare il badge web con tooltip hash breve per verificare l'allineamento del file scaricato.</t>
        </is>
      </c>
    </row>
    <row r="137">
      <c r="A137" s="24" t="inlineStr">
        <is>
          <t>4. Eseguire `CheckBeforeRun` nel workbook prima di simulazione/ottimizzazione.</t>
        </is>
      </c>
    </row>
    <row r="138">
      <c r="A138" s="23" t="inlineStr">
        <is>
          <t>## Golden session consigliata (operativa)</t>
        </is>
      </c>
    </row>
    <row r="139">
      <c r="A139" s="24" t="inlineStr">
        <is>
          <t>1. Carica `templates/offerte-esempio.csv` in `Offerte`.</t>
        </is>
      </c>
    </row>
    <row r="140">
      <c r="A140" s="24" t="inlineStr">
        <is>
          <t>2. Esegui `CheckBeforeRun`.</t>
        </is>
      </c>
    </row>
    <row r="141">
      <c r="A141" s="24" t="inlineStr">
        <is>
          <t>3. Esegui `SimulaScenario`.</t>
        </is>
      </c>
    </row>
    <row r="142">
      <c r="A142" s="24" t="inlineStr">
        <is>
          <t>4. Sul web replica lo stesso scenario e annota i totali migliori lotto.</t>
        </is>
      </c>
    </row>
    <row r="143">
      <c r="A143" s="24" t="inlineStr">
        <is>
          <t>5. Inserisci gli expected nel file `templates/golden-cases.csv` e in `ConfrontoWeb!J2:J5`.</t>
        </is>
      </c>
    </row>
    <row r="144">
      <c r="A144" s="24" t="inlineStr">
        <is>
          <t>6. Esegui `ConfrontoWebGolden` e salva esiti `OK/KO`.</t>
        </is>
      </c>
    </row>
    <row r="145">
      <c r="A145" s="23" t="inlineStr">
        <is>
          <t>## Verifica pacchetto</t>
        </is>
      </c>
    </row>
    <row r="146">
      <c r="A146" s="24" t="inlineStr">
        <is>
          <t>Dopo `npm run package:excel`, esegui `npm run validate:excel-package` per verificare hash, schema manifest, presenza del file `.xlsm` unico, fogli operativi principali, content type macro-enabled e progetto VBA incorporato.</t>
        </is>
      </c>
    </row>
  </sheetData>
  <mergeCells count="133">
    <mergeCell ref="A130:H130"/>
    <mergeCell ref="A77:H77"/>
    <mergeCell ref="A83:H83"/>
    <mergeCell ref="A15:H17"/>
    <mergeCell ref="A49:H49"/>
    <mergeCell ref="A138:H138"/>
    <mergeCell ref="A132:H132"/>
    <mergeCell ref="A110:H110"/>
    <mergeCell ref="A119:H119"/>
    <mergeCell ref="A69:H69"/>
    <mergeCell ref="A25:H25"/>
    <mergeCell ref="A66:H66"/>
    <mergeCell ref="A118:H118"/>
    <mergeCell ref="A75:H75"/>
    <mergeCell ref="A133:H133"/>
    <mergeCell ref="A50:H50"/>
    <mergeCell ref="A55:H55"/>
    <mergeCell ref="A86:H86"/>
    <mergeCell ref="A95:H95"/>
    <mergeCell ref="A104:H104"/>
    <mergeCell ref="A32:H32"/>
    <mergeCell ref="A97:H97"/>
    <mergeCell ref="A106:H106"/>
    <mergeCell ref="A29:H29"/>
    <mergeCell ref="A134:H134"/>
    <mergeCell ref="A81:H81"/>
    <mergeCell ref="A38:H38"/>
    <mergeCell ref="A96:H96"/>
    <mergeCell ref="A5:H7"/>
    <mergeCell ref="A20:H22"/>
    <mergeCell ref="A121:H121"/>
    <mergeCell ref="A44:H44"/>
    <mergeCell ref="A31:H31"/>
    <mergeCell ref="A58:H58"/>
    <mergeCell ref="A40:H40"/>
    <mergeCell ref="A67:H67"/>
    <mergeCell ref="A24:H24"/>
    <mergeCell ref="A73:H73"/>
    <mergeCell ref="A51:H51"/>
    <mergeCell ref="A107:H107"/>
    <mergeCell ref="A82:H82"/>
    <mergeCell ref="A60:H60"/>
    <mergeCell ref="A123:H123"/>
    <mergeCell ref="A146:H146"/>
    <mergeCell ref="A124:H124"/>
    <mergeCell ref="A99:H99"/>
    <mergeCell ref="A108:H108"/>
    <mergeCell ref="A84:H84"/>
    <mergeCell ref="A27:H27"/>
    <mergeCell ref="A101:H101"/>
    <mergeCell ref="A2:H2"/>
    <mergeCell ref="A85:H85"/>
    <mergeCell ref="A42:H42"/>
    <mergeCell ref="A47:H47"/>
    <mergeCell ref="A126:H126"/>
    <mergeCell ref="A141:H141"/>
    <mergeCell ref="A135:H135"/>
    <mergeCell ref="A62:H62"/>
    <mergeCell ref="A144:H144"/>
    <mergeCell ref="A122:H122"/>
    <mergeCell ref="A125:H125"/>
    <mergeCell ref="A72:H72"/>
    <mergeCell ref="A28:H28"/>
    <mergeCell ref="A112:H112"/>
    <mergeCell ref="A127:H127"/>
    <mergeCell ref="A48:H48"/>
    <mergeCell ref="A30:H30"/>
    <mergeCell ref="A114:H114"/>
    <mergeCell ref="A59:H59"/>
    <mergeCell ref="A64:H64"/>
    <mergeCell ref="A98:H98"/>
    <mergeCell ref="A79:H79"/>
    <mergeCell ref="A61:H61"/>
    <mergeCell ref="A88:H88"/>
    <mergeCell ref="A70:H70"/>
    <mergeCell ref="A54:H54"/>
    <mergeCell ref="A137:H137"/>
    <mergeCell ref="A41:H41"/>
    <mergeCell ref="A90:H90"/>
    <mergeCell ref="A74:H74"/>
    <mergeCell ref="A56:H56"/>
    <mergeCell ref="A145:H145"/>
    <mergeCell ref="A26:H26"/>
    <mergeCell ref="A139:H139"/>
    <mergeCell ref="A71:H71"/>
    <mergeCell ref="A129:H129"/>
    <mergeCell ref="A76:H76"/>
    <mergeCell ref="A33:H33"/>
    <mergeCell ref="A116:H116"/>
    <mergeCell ref="A131:H131"/>
    <mergeCell ref="A100:H100"/>
    <mergeCell ref="A140:H140"/>
    <mergeCell ref="A53:H53"/>
    <mergeCell ref="A109:H109"/>
    <mergeCell ref="A35:H35"/>
    <mergeCell ref="A63:H63"/>
    <mergeCell ref="A115:H115"/>
    <mergeCell ref="A19:H19"/>
    <mergeCell ref="A68:H68"/>
    <mergeCell ref="A102:H102"/>
    <mergeCell ref="A117:H117"/>
    <mergeCell ref="A111:H111"/>
    <mergeCell ref="A34:H34"/>
    <mergeCell ref="A9:H9"/>
    <mergeCell ref="A143:H143"/>
    <mergeCell ref="A92:H92"/>
    <mergeCell ref="A39:H39"/>
    <mergeCell ref="A10:H12"/>
    <mergeCell ref="A142:H142"/>
    <mergeCell ref="A36:H36"/>
    <mergeCell ref="A1:H1"/>
    <mergeCell ref="A45:H45"/>
    <mergeCell ref="A94:H94"/>
    <mergeCell ref="A103:H103"/>
    <mergeCell ref="A78:H78"/>
    <mergeCell ref="A87:H87"/>
    <mergeCell ref="A65:H65"/>
    <mergeCell ref="A128:H128"/>
    <mergeCell ref="A80:H80"/>
    <mergeCell ref="A37:H37"/>
    <mergeCell ref="A46:H46"/>
    <mergeCell ref="A89:H89"/>
    <mergeCell ref="A120:H120"/>
    <mergeCell ref="A136:H136"/>
    <mergeCell ref="A105:H105"/>
    <mergeCell ref="A57:H57"/>
    <mergeCell ref="A113:H113"/>
    <mergeCell ref="A14:H14"/>
    <mergeCell ref="A4:H4"/>
    <mergeCell ref="A91:H91"/>
    <mergeCell ref="A43:H43"/>
    <mergeCell ref="A52:H52"/>
    <mergeCell ref="A93:H93"/>
  </mergeCells>
  <pageMargins left="0.25" right="0.25" top="0.5" bottom="0.5" header="0.5" footer="0.5"/>
  <pageSetup fitToHeight="0" fitToWidth="1"/>
</worksheet>
</file>

<file path=xl/worksheets/sheet12.xml><?xml version="1.0" encoding="utf-8"?>
<worksheet xmlns="http://schemas.openxmlformats.org/spreadsheetml/2006/main">
  <sheetPr>
    <tabColor rgb="0070AD47"/>
    <outlinePr summaryBelow="1" summaryRight="1"/>
    <pageSetUpPr fitToPage="1"/>
  </sheetPr>
  <dimension ref="A1:H18"/>
  <sheetViews>
    <sheetView showGridLines="0" tabSelected="0" workbookViewId="0">
      <pane ySplit="3" topLeftCell="A4" activePane="bottomLeft" state="frozen"/>
      <selection pane="bottomLeft" activeCell="A1" sqref="A1"/>
    </sheetView>
  </sheetViews>
  <sheetFormatPr baseColWidth="8" defaultRowHeight="15"/>
  <cols>
    <col width="18" customWidth="1" min="1" max="1"/>
    <col width="24" customWidth="1" min="2" max="2"/>
    <col width="24" customWidth="1" min="3" max="3"/>
    <col width="45" customWidth="1" min="4" max="4"/>
    <col width="42" customWidth="1" min="5" max="5"/>
  </cols>
  <sheetData>
    <row r="1" ht="28" customHeight="1">
      <c r="A1" s="4" t="inlineStr">
        <is>
          <t>Glossario e campi</t>
        </is>
      </c>
    </row>
    <row r="2">
      <c r="A2" s="5" t="inlineStr">
        <is>
          <t>Riferimento rapido per compilare senza cercare istruzioni esterne.</t>
        </is>
      </c>
    </row>
    <row r="3" ht="24" customHeight="1">
      <c r="A3" s="18" t="n"/>
      <c r="B3" s="18" t="n"/>
      <c r="C3" s="18" t="n"/>
      <c r="D3" s="18" t="n"/>
      <c r="E3" s="18" t="n"/>
    </row>
    <row r="4">
      <c r="A4" s="10" t="inlineStr">
        <is>
          <t>Area</t>
        </is>
      </c>
      <c r="B4" s="10" t="inlineStr">
        <is>
          <t>Campo/Macro</t>
        </is>
      </c>
      <c r="C4" s="10" t="inlineStr">
        <is>
          <t>Dove</t>
        </is>
      </c>
      <c r="D4" s="10" t="inlineStr">
        <is>
          <t>Significato</t>
        </is>
      </c>
      <c r="E4" s="10" t="inlineStr">
        <is>
          <t>Note operative</t>
        </is>
      </c>
    </row>
    <row r="5">
      <c r="A5" s="10" t="inlineStr">
        <is>
          <t>Parametri</t>
        </is>
      </c>
      <c r="B5" s="10" t="inlineStr">
        <is>
          <t>SogliaTecnica</t>
        </is>
      </c>
      <c r="C5" s="10" t="inlineStr">
        <is>
          <t>Parametri!B2</t>
        </is>
      </c>
      <c r="D5" s="10" t="inlineStr">
        <is>
          <t>Punteggio tecnico minimo per essere ammessi.</t>
        </is>
      </c>
      <c r="E5" s="10" t="inlineStr">
        <is>
          <t>Valore 0-70.</t>
        </is>
      </c>
    </row>
    <row r="6">
      <c r="A6" s="10" t="inlineStr">
        <is>
          <t>Parametri</t>
        </is>
      </c>
      <c r="B6" s="10" t="inlineStr">
        <is>
          <t>LottoAttivo</t>
        </is>
      </c>
      <c r="C6" s="10" t="inlineStr">
        <is>
          <t>Parametri!B3</t>
        </is>
      </c>
      <c r="D6" s="10" t="inlineStr">
        <is>
          <t>Lotto usato dalle macro di ottimizzazione.</t>
        </is>
      </c>
      <c r="E6" s="10" t="inlineStr">
        <is>
          <t>Dropdown L1-L4.</t>
        </is>
      </c>
    </row>
    <row r="7">
      <c r="A7" s="10" t="inlineStr">
        <is>
          <t>Offerte</t>
        </is>
      </c>
      <c r="B7" s="10" t="inlineStr">
        <is>
          <t>Attivo</t>
        </is>
      </c>
      <c r="C7" s="10" t="inlineStr">
        <is>
          <t>Offerte!D:D</t>
        </is>
      </c>
      <c r="D7" s="10" t="inlineStr">
        <is>
          <t>1 include la riga nella simulazione, 0 la esclude.</t>
        </is>
      </c>
      <c r="E7" s="10" t="inlineStr">
        <is>
          <t>Usare 0/1.</t>
        </is>
      </c>
    </row>
    <row r="8">
      <c r="A8" s="10" t="inlineStr">
        <is>
          <t>Offerte</t>
        </is>
      </c>
      <c r="B8" s="10" t="inlineStr">
        <is>
          <t>PunteggioTecnicoRaw</t>
        </is>
      </c>
      <c r="C8" s="10" t="inlineStr">
        <is>
          <t>Offerte!E:E</t>
        </is>
      </c>
      <c r="D8" s="10" t="inlineStr">
        <is>
          <t>Punteggio tecnico simulato aggregato.</t>
        </is>
      </c>
      <c r="E8" s="10" t="inlineStr">
        <is>
          <t>Modalità light, 0-70.</t>
        </is>
      </c>
    </row>
    <row r="9">
      <c r="A9" s="10" t="inlineStr">
        <is>
          <t>Offerte</t>
        </is>
      </c>
      <c r="B9" s="10" t="inlineStr">
        <is>
          <t>RibassoMedioPercento</t>
        </is>
      </c>
      <c r="C9" s="10" t="inlineStr">
        <is>
          <t>Offerte!F:F</t>
        </is>
      </c>
      <c r="D9" s="10" t="inlineStr">
        <is>
          <t>Ribasso economico medio simulato.</t>
        </is>
      </c>
      <c r="E9" s="10" t="inlineStr">
        <is>
          <t>0-100.</t>
        </is>
      </c>
    </row>
    <row r="10">
      <c r="A10" s="10" t="inlineStr">
        <is>
          <t>Offerte</t>
        </is>
      </c>
      <c r="B10" s="10" t="inlineStr">
        <is>
          <t>TotaleFormula</t>
        </is>
      </c>
      <c r="C10" s="10" t="inlineStr">
        <is>
          <t>Offerte!J:J</t>
        </is>
      </c>
      <c r="D10" s="10" t="inlineStr">
        <is>
          <t>Totale calcolato direttamente nel foglio.</t>
        </is>
      </c>
      <c r="E10" s="10" t="inlineStr">
        <is>
          <t>Replica light di tecnico + economico.</t>
        </is>
      </c>
    </row>
    <row r="11">
      <c r="A11" s="10" t="inlineStr">
        <is>
          <t>Combinatorie</t>
        </is>
      </c>
      <c r="B11" s="10" t="inlineStr">
        <is>
          <t>Attivo</t>
        </is>
      </c>
      <c r="C11" s="10" t="inlineStr">
        <is>
          <t>Combinatorie!D:D</t>
        </is>
      </c>
      <c r="D11" s="10" t="inlineStr">
        <is>
          <t>1 include la coppia nella matrice scenario.</t>
        </is>
      </c>
      <c r="E11" s="10" t="inlineStr">
        <is>
          <t>Richiede lotti singoli ammessi.</t>
        </is>
      </c>
    </row>
    <row r="12">
      <c r="A12" s="10" t="inlineStr">
        <is>
          <t>Combinatorie</t>
        </is>
      </c>
      <c r="B12" s="10" t="inlineStr">
        <is>
          <t>RibassoCombinatoria</t>
        </is>
      </c>
      <c r="C12" s="10" t="inlineStr">
        <is>
          <t>Combinatorie!E:E</t>
        </is>
      </c>
      <c r="D12" s="10" t="inlineStr">
        <is>
          <t>Ribasso medio della coppia.</t>
        </is>
      </c>
      <c r="E12" s="10" t="inlineStr">
        <is>
          <t>Deve migliorare il riferimento singolo indicativo.</t>
        </is>
      </c>
    </row>
    <row r="13">
      <c r="A13" s="10" t="inlineStr">
        <is>
          <t>Scenario globale</t>
        </is>
      </c>
      <c r="B13" s="10" t="inlineStr">
        <is>
          <t>Matrice scenari</t>
        </is>
      </c>
      <c r="C13" s="10" t="inlineStr">
        <is>
          <t>ScenarioGlobale</t>
        </is>
      </c>
      <c r="D13" s="10" t="inlineStr">
        <is>
          <t>Confronta singoli e combinatorie compatibili.</t>
        </is>
      </c>
      <c r="E13" s="10" t="inlineStr">
        <is>
          <t>Indicativa: per vincoli avanzati resta centrale la web app.</t>
        </is>
      </c>
    </row>
    <row r="14">
      <c r="A14" s="10" t="inlineStr">
        <is>
          <t>Ottimizzazione</t>
        </is>
      </c>
      <c r="B14" s="10" t="inlineStr">
        <is>
          <t>BidderId</t>
        </is>
      </c>
      <c r="C14" s="10" t="inlineStr">
        <is>
          <t>Ottimizzazione!B2</t>
        </is>
      </c>
      <c r="D14" s="10" t="inlineStr">
        <is>
          <t>Concorrente target.</t>
        </is>
      </c>
      <c r="E14" s="10" t="inlineStr">
        <is>
          <t>Deve esistere in Offerte.</t>
        </is>
      </c>
    </row>
    <row r="15">
      <c r="A15" s="10" t="inlineStr">
        <is>
          <t>Macro</t>
        </is>
      </c>
      <c r="B15" s="10" t="inlineStr">
        <is>
          <t>CheckBeforeRun</t>
        </is>
      </c>
      <c r="C15" s="10" t="inlineStr">
        <is>
          <t>Macro</t>
        </is>
      </c>
      <c r="D15" s="10" t="inlineStr">
        <is>
          <t>Controllo input e struttura workbook.</t>
        </is>
      </c>
      <c r="E15" s="10" t="inlineStr">
        <is>
          <t>Eseguire prima di simulare.</t>
        </is>
      </c>
    </row>
    <row r="16">
      <c r="A16" s="10" t="inlineStr">
        <is>
          <t>Macro</t>
        </is>
      </c>
      <c r="B16" s="10" t="inlineStr">
        <is>
          <t>SimulaScenario</t>
        </is>
      </c>
      <c r="C16" s="10" t="inlineStr">
        <is>
          <t>Macro</t>
        </is>
      </c>
      <c r="D16" s="10" t="inlineStr">
        <is>
          <t>Calcola risultati, combinatorie e vincitori.</t>
        </is>
      </c>
      <c r="E16" s="10" t="inlineStr">
        <is>
          <t>Aggiorna Risultati.</t>
        </is>
      </c>
    </row>
    <row r="17">
      <c r="A17" s="10" t="inlineStr">
        <is>
          <t>Macro</t>
        </is>
      </c>
      <c r="B17" s="10" t="inlineStr">
        <is>
          <t>OttimizzaLottoAttivo</t>
        </is>
      </c>
      <c r="C17" s="10" t="inlineStr">
        <is>
          <t>Macro</t>
        </is>
      </c>
      <c r="D17" s="10" t="inlineStr">
        <is>
          <t>Itera sulle leve Q/T del bidder target.</t>
        </is>
      </c>
      <c r="E17" s="10" t="inlineStr">
        <is>
          <t>Aggiorna Offerte e Log.</t>
        </is>
      </c>
    </row>
    <row r="18">
      <c r="A18" t="inlineStr">
        <is>
          <t>Macro</t>
        </is>
      </c>
      <c r="B18" t="inlineStr">
        <is>
          <t>ConfrontoWebGolden</t>
        </is>
      </c>
      <c r="C18" t="inlineStr">
        <is>
          <t>Macro</t>
        </is>
      </c>
      <c r="D18" t="inlineStr">
        <is>
          <t>Confronta Excel con expected web.</t>
        </is>
      </c>
      <c r="E18" t="inlineStr">
        <is>
          <t>Usa J2:J5 in ConfrontoWeb.</t>
        </is>
      </c>
    </row>
  </sheetData>
  <mergeCells count="2">
    <mergeCell ref="A2:H2"/>
    <mergeCell ref="A1:H1"/>
  </mergeCells>
  <pageMargins left="0.25" right="0.25" top="0.5" bottom="0.5" header="0.5" footer="0.5"/>
  <pageSetup fitToHeight="0" fitToWidth="1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openpyxl</dc:creator>
  <dcterms:created xmlns:dcterms="http://purl.org/dc/terms/" xmlns:xsi="http://www.w3.org/2001/XMLSchema-instance" xsi:type="dcterms:W3CDTF">2026-05-25T17:58:55Z</dcterms:created>
  <dcterms:modified xmlns:dcterms="http://purl.org/dc/terms/" xmlns:xsi="http://www.w3.org/2001/XMLSchema-instance" xsi:type="dcterms:W3CDTF">2026-05-25T19:01:31Z</dcterms:modified>
  <cp:lastModifiedBy>Filisina Matteo</cp:lastModifiedBy>
</cp:coreProperties>
</file>